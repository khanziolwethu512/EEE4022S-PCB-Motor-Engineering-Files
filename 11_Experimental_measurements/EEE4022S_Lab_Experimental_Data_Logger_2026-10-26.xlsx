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khanz\Downloads\"/>
    </mc:Choice>
  </mc:AlternateContent>
  <xr:revisionPtr revIDLastSave="0" documentId="13_ncr:1_{BA786BBF-4B67-4D73-826A-CF6EB3B81880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START HERE" sheetId="1" r:id="rId1"/>
    <sheet name="Geometry" sheetId="2" r:id="rId2"/>
    <sheet name="Windings" sheetId="3" r:id="rId3"/>
    <sheet name="Back EMF" sheetId="4" r:id="rId4"/>
    <sheet name="Commissioning" sheetId="5" r:id="rId5"/>
    <sheet name="Motor Runs" sheetId="6" r:id="rId6"/>
    <sheet name="Summary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7" l="1"/>
  <c r="M34" i="6"/>
  <c r="K34" i="6"/>
  <c r="L34" i="6" s="1"/>
  <c r="M33" i="6"/>
  <c r="K33" i="6"/>
  <c r="L33" i="6" s="1"/>
  <c r="M32" i="6"/>
  <c r="K32" i="6"/>
  <c r="L32" i="6" s="1"/>
  <c r="M31" i="6"/>
  <c r="K31" i="6"/>
  <c r="L31" i="6" s="1"/>
  <c r="M30" i="6"/>
  <c r="K30" i="6"/>
  <c r="L30" i="6" s="1"/>
  <c r="M29" i="6"/>
  <c r="K29" i="6"/>
  <c r="L29" i="6" s="1"/>
  <c r="M28" i="6"/>
  <c r="K28" i="6"/>
  <c r="L28" i="6" s="1"/>
  <c r="M27" i="6"/>
  <c r="K27" i="6"/>
  <c r="L27" i="6" s="1"/>
  <c r="M26" i="6"/>
  <c r="K26" i="6"/>
  <c r="L26" i="6" s="1"/>
  <c r="M25" i="6"/>
  <c r="L25" i="6"/>
  <c r="K25" i="6"/>
  <c r="M24" i="6"/>
  <c r="K24" i="6"/>
  <c r="L24" i="6" s="1"/>
  <c r="M23" i="6"/>
  <c r="K23" i="6"/>
  <c r="L23" i="6" s="1"/>
  <c r="M22" i="6"/>
  <c r="K22" i="6"/>
  <c r="L22" i="6" s="1"/>
  <c r="M21" i="6"/>
  <c r="K21" i="6"/>
  <c r="L21" i="6" s="1"/>
  <c r="M20" i="6"/>
  <c r="K20" i="6"/>
  <c r="L20" i="6" s="1"/>
  <c r="M19" i="6"/>
  <c r="K19" i="6"/>
  <c r="L19" i="6" s="1"/>
  <c r="M18" i="6"/>
  <c r="K18" i="6"/>
  <c r="L18" i="6" s="1"/>
  <c r="M17" i="6"/>
  <c r="K17" i="6"/>
  <c r="L17" i="6" s="1"/>
  <c r="M16" i="6"/>
  <c r="K16" i="6"/>
  <c r="L16" i="6" s="1"/>
  <c r="M15" i="6"/>
  <c r="K15" i="6"/>
  <c r="L15" i="6" s="1"/>
  <c r="M14" i="6"/>
  <c r="K14" i="6"/>
  <c r="L14" i="6" s="1"/>
  <c r="M13" i="6"/>
  <c r="K13" i="6"/>
  <c r="L13" i="6" s="1"/>
  <c r="M12" i="6"/>
  <c r="K12" i="6"/>
  <c r="L12" i="6" s="1"/>
  <c r="M11" i="6"/>
  <c r="K11" i="6"/>
  <c r="L11" i="6" s="1"/>
  <c r="M10" i="6"/>
  <c r="K10" i="6"/>
  <c r="L10" i="6" s="1"/>
  <c r="M9" i="6"/>
  <c r="K9" i="6"/>
  <c r="L9" i="6" s="1"/>
  <c r="M8" i="6"/>
  <c r="K8" i="6"/>
  <c r="L8" i="6" s="1"/>
  <c r="M7" i="6"/>
  <c r="K7" i="6"/>
  <c r="L7" i="6" s="1"/>
  <c r="M6" i="6"/>
  <c r="K6" i="6"/>
  <c r="L6" i="6" s="1"/>
  <c r="M5" i="6"/>
  <c r="K5" i="6"/>
  <c r="L31" i="4"/>
  <c r="J31" i="4"/>
  <c r="K31" i="4" s="1"/>
  <c r="H31" i="4"/>
  <c r="L30" i="4"/>
  <c r="J30" i="4"/>
  <c r="K30" i="4" s="1"/>
  <c r="H30" i="4"/>
  <c r="L29" i="4"/>
  <c r="J29" i="4"/>
  <c r="K29" i="4" s="1"/>
  <c r="H29" i="4"/>
  <c r="L28" i="4"/>
  <c r="J28" i="4"/>
  <c r="K28" i="4" s="1"/>
  <c r="H28" i="4"/>
  <c r="L27" i="4"/>
  <c r="J27" i="4"/>
  <c r="K27" i="4" s="1"/>
  <c r="H27" i="4"/>
  <c r="L26" i="4"/>
  <c r="J26" i="4"/>
  <c r="K26" i="4" s="1"/>
  <c r="H26" i="4"/>
  <c r="L25" i="4"/>
  <c r="J25" i="4"/>
  <c r="K25" i="4" s="1"/>
  <c r="H25" i="4"/>
  <c r="L24" i="4"/>
  <c r="J24" i="4"/>
  <c r="K24" i="4" s="1"/>
  <c r="H24" i="4"/>
  <c r="L23" i="4"/>
  <c r="J23" i="4"/>
  <c r="K23" i="4" s="1"/>
  <c r="H23" i="4"/>
  <c r="L22" i="4"/>
  <c r="J22" i="4"/>
  <c r="K22" i="4" s="1"/>
  <c r="H22" i="4"/>
  <c r="L21" i="4"/>
  <c r="K21" i="4"/>
  <c r="J21" i="4"/>
  <c r="H21" i="4"/>
  <c r="L20" i="4"/>
  <c r="J20" i="4"/>
  <c r="K20" i="4" s="1"/>
  <c r="H20" i="4"/>
  <c r="L19" i="4"/>
  <c r="J19" i="4"/>
  <c r="K19" i="4" s="1"/>
  <c r="H19" i="4"/>
  <c r="L18" i="4"/>
  <c r="J18" i="4"/>
  <c r="K18" i="4" s="1"/>
  <c r="H18" i="4"/>
  <c r="L17" i="4"/>
  <c r="J17" i="4"/>
  <c r="K17" i="4" s="1"/>
  <c r="H17" i="4"/>
  <c r="L16" i="4"/>
  <c r="J16" i="4"/>
  <c r="K16" i="4" s="1"/>
  <c r="H16" i="4"/>
  <c r="L15" i="4"/>
  <c r="J15" i="4"/>
  <c r="K15" i="4" s="1"/>
  <c r="H15" i="4"/>
  <c r="L14" i="4"/>
  <c r="J14" i="4"/>
  <c r="K14" i="4" s="1"/>
  <c r="H14" i="4"/>
  <c r="L13" i="4"/>
  <c r="J13" i="4"/>
  <c r="K13" i="4" s="1"/>
  <c r="H13" i="4"/>
  <c r="L12" i="4"/>
  <c r="J12" i="4"/>
  <c r="K12" i="4" s="1"/>
  <c r="H12" i="4"/>
  <c r="L11" i="4"/>
  <c r="J11" i="4"/>
  <c r="K11" i="4" s="1"/>
  <c r="H11" i="4"/>
  <c r="L10" i="4"/>
  <c r="J10" i="4"/>
  <c r="K10" i="4" s="1"/>
  <c r="H10" i="4"/>
  <c r="L9" i="4"/>
  <c r="J9" i="4"/>
  <c r="K9" i="4" s="1"/>
  <c r="H9" i="4"/>
  <c r="L8" i="4"/>
  <c r="J8" i="4"/>
  <c r="K8" i="4" s="1"/>
  <c r="H8" i="4"/>
  <c r="L7" i="4"/>
  <c r="J7" i="4"/>
  <c r="K7" i="4" s="1"/>
  <c r="H7" i="4"/>
  <c r="L6" i="4"/>
  <c r="J6" i="4"/>
  <c r="K6" i="4" s="1"/>
  <c r="H6" i="4"/>
  <c r="L5" i="4"/>
  <c r="B6" i="7" s="1"/>
  <c r="J5" i="4"/>
  <c r="K5" i="4" s="1"/>
  <c r="H5" i="4"/>
  <c r="I7" i="2"/>
  <c r="I6" i="2"/>
  <c r="I5" i="2"/>
  <c r="B7" i="7" l="1"/>
  <c r="B8" i="7"/>
  <c r="L5" i="6"/>
  <c r="B9" i="7" s="1"/>
</calcChain>
</file>

<file path=xl/sharedStrings.xml><?xml version="1.0" encoding="utf-8"?>
<sst xmlns="http://schemas.openxmlformats.org/spreadsheetml/2006/main" count="303" uniqueCount="239">
  <si>
    <t>EEE4022S | Laboratory Data Logger</t>
  </si>
  <si>
    <t>26 October 2026  •  Rev0 as-built  •  Enter only actual observations in blue-field sheets; formulas derive output metrics.</t>
  </si>
  <si>
    <t>Step</t>
  </si>
  <si>
    <t>Activity</t>
  </si>
  <si>
    <t>Expected evidence</t>
  </si>
  <si>
    <t>Gate / instruction</t>
  </si>
  <si>
    <t>1</t>
  </si>
  <si>
    <t>Stationary geometry &amp; windings</t>
  </si>
  <si>
    <t>Gap, runout, resistance and temperature</t>
  </si>
  <si>
    <t>Do not rotate unless mechanical assembly inspected and approved</t>
  </si>
  <si>
    <t>2</t>
  </si>
  <si>
    <t>Open-circuit generator tests</t>
  </si>
  <si>
    <t>Actual rpm, frequency, RMS AB/BC/CA, CSV</t>
  </si>
  <si>
    <t>Motor disconnected from inverter; safe differential probing</t>
  </si>
  <si>
    <t>3</t>
  </si>
  <si>
    <t>Controller / driver commissioning</t>
  </si>
  <si>
    <t>PWM, shutdown, current feedback, encoder</t>
  </si>
  <si>
    <t>Keep DC link unpowered until specific interfaces and protections verified</t>
  </si>
  <si>
    <t>4</t>
  </si>
  <si>
    <t>Powered motor runs (conditional)</t>
  </si>
  <si>
    <t>Current, bus power, torque, shaft speed</t>
  </si>
  <si>
    <t>Only after safety commissioning and appropriate torque measurement</t>
  </si>
  <si>
    <t>5</t>
  </si>
  <si>
    <t>Review and export</t>
  </si>
  <si>
    <t>Raw files, uncertainties, comparisons</t>
  </si>
  <si>
    <t>Blank cells = not measured; never replace with predictions</t>
  </si>
  <si>
    <t>Legend</t>
  </si>
  <si>
    <t>Blue-tinted input columns</t>
  </si>
  <si>
    <t>Enter measured values and test identifiers</t>
  </si>
  <si>
    <t>Grey/green outputs are derived from formulas</t>
  </si>
  <si>
    <t>1 | Physical Geometry &amp; Winding Checks</t>
  </si>
  <si>
    <t>Measure minimum magnet-face–PCB distance at several positions; record runout and uncertainties.</t>
  </si>
  <si>
    <t>Date/time</t>
  </si>
  <si>
    <t>Rotor angle (deg)</t>
  </si>
  <si>
    <t>Gap (mm)</t>
  </si>
  <si>
    <t>Gauge uncertainty (mm)</t>
  </si>
  <si>
    <t>Runout / note</t>
  </si>
  <si>
    <t>Operator</t>
  </si>
  <si>
    <t>Metric</t>
  </si>
  <si>
    <t>Value</t>
  </si>
  <si>
    <t>Min gap (mm)</t>
  </si>
  <si>
    <t>Max gap (mm)</t>
  </si>
  <si>
    <t>Mean gap (mm)</t>
  </si>
  <si>
    <t>2 | Static Electrical Measurements</t>
  </si>
  <si>
    <t>Star connection: line-line resistance generally spans two phases; record exact terminals and lead-compensation method.</t>
  </si>
  <si>
    <t>Measurement</t>
  </si>
  <si>
    <t>Terminals</t>
  </si>
  <si>
    <t>Reading</t>
  </si>
  <si>
    <t>Unit</t>
  </si>
  <si>
    <t>Frequency (Hz)</t>
  </si>
  <si>
    <t>Ambient °C</t>
  </si>
  <si>
    <t>Lead offset / method</t>
  </si>
  <si>
    <t>Instrument</t>
  </si>
  <si>
    <t>Notes</t>
  </si>
  <si>
    <t>Line resistance</t>
  </si>
  <si>
    <t>AB</t>
  </si>
  <si>
    <t>ohm</t>
  </si>
  <si>
    <t>BC</t>
  </si>
  <si>
    <t>CA</t>
  </si>
  <si>
    <t>Phase resistance</t>
  </si>
  <si>
    <t>A–star</t>
  </si>
  <si>
    <t>B–star</t>
  </si>
  <si>
    <t>C–star</t>
  </si>
  <si>
    <t>Inductance</t>
  </si>
  <si>
    <t>uH</t>
  </si>
  <si>
    <t>Single board R</t>
  </si>
  <si>
    <t>A</t>
  </si>
  <si>
    <t>3 | Open-Circuit Back-EMF</t>
  </si>
  <si>
    <t>Blue fields: measured speed, voltage, frequency and waveform ID. Prediction is Case C at 4 mm; no assumed observations.</t>
  </si>
  <si>
    <t>Test ID</t>
  </si>
  <si>
    <t>Cmd rpm</t>
  </si>
  <si>
    <t>Pair</t>
  </si>
  <si>
    <t>Repeat</t>
  </si>
  <si>
    <t>Actual rpm</t>
  </si>
  <si>
    <t>V LL RMS (mV)</t>
  </si>
  <si>
    <t>Freq measured (Hz)</t>
  </si>
  <si>
    <t>Freq expected (Hz)</t>
  </si>
  <si>
    <t>Case C prediction @cmd (mV)</t>
  </si>
  <si>
    <t>Prediction @actual (mV)</t>
  </si>
  <si>
    <t>Deviation (%)</t>
  </si>
  <si>
    <t>K inferred (mN m/A)</t>
  </si>
  <si>
    <t>CSV filename</t>
  </si>
  <si>
    <t>BE50_AB_01</t>
  </si>
  <si>
    <t>BE50_AB_02</t>
  </si>
  <si>
    <t>BE50_AB_03</t>
  </si>
  <si>
    <t>BE50_BC_01</t>
  </si>
  <si>
    <t>BE50_BC_02</t>
  </si>
  <si>
    <t>BE50_BC_03</t>
  </si>
  <si>
    <t>BE50_CA_01</t>
  </si>
  <si>
    <t>BE50_CA_02</t>
  </si>
  <si>
    <t>BE50_CA_03</t>
  </si>
  <si>
    <t>BE100_AB_01</t>
  </si>
  <si>
    <t>BE100_AB_02</t>
  </si>
  <si>
    <t>BE100_AB_03</t>
  </si>
  <si>
    <t>BE100_BC_01</t>
  </si>
  <si>
    <t>BE100_BC_02</t>
  </si>
  <si>
    <t>BE100_BC_03</t>
  </si>
  <si>
    <t>BE100_CA_01</t>
  </si>
  <si>
    <t>BE100_CA_02</t>
  </si>
  <si>
    <t>BE100_CA_03</t>
  </si>
  <si>
    <t>BE150_AB_01</t>
  </si>
  <si>
    <t>BE150_AB_02</t>
  </si>
  <si>
    <t>BE150_AB_03</t>
  </si>
  <si>
    <t>BE150_BC_01</t>
  </si>
  <si>
    <t>BE150_BC_02</t>
  </si>
  <si>
    <t>BE150_BC_03</t>
  </si>
  <si>
    <t>BE150_CA_01</t>
  </si>
  <si>
    <t>BE150_CA_02</t>
  </si>
  <si>
    <t>BE150_CA_03</t>
  </si>
  <si>
    <t>4 | Drive-Interface Commissioning Log</t>
  </si>
  <si>
    <t>Gate-driver work requires verified pinout, current sensing, independent fault shutdown and mechanical approval before energising the motor.</t>
  </si>
  <si>
    <t>Check ID</t>
  </si>
  <si>
    <t>Subsystem</t>
  </si>
  <si>
    <t>Evidence / test</t>
  </si>
  <si>
    <t>Status</t>
  </si>
  <si>
    <t>Measured value</t>
  </si>
  <si>
    <t>Instrument / file</t>
  </si>
  <si>
    <t>Owner</t>
  </si>
  <si>
    <t>Safety note</t>
  </si>
  <si>
    <t>C01</t>
  </si>
  <si>
    <t>Mechanics</t>
  </si>
  <si>
    <t>Rotor stable, guard and retention approved</t>
  </si>
  <si>
    <t>Not checked</t>
  </si>
  <si>
    <t>No rotation without approval</t>
  </si>
  <si>
    <t>C02</t>
  </si>
  <si>
    <t>DC-link</t>
  </si>
  <si>
    <t>Verified voltage range, discharge and polarity</t>
  </si>
  <si>
    <t>Check de-energised capacitors</t>
  </si>
  <si>
    <t>C03</t>
  </si>
  <si>
    <t>Aux supply</t>
  </si>
  <si>
    <t>Correct voltage, isolation and current demand</t>
  </si>
  <si>
    <t>15 V label not PWM input</t>
  </si>
  <si>
    <t>C04</t>
  </si>
  <si>
    <t>PWM</t>
  </si>
  <si>
    <t>All six outputs, polarity, dead time, disabled state</t>
  </si>
  <si>
    <t>STM32 only first</t>
  </si>
  <si>
    <t>C05</t>
  </si>
  <si>
    <t>Gate inputs</t>
  </si>
  <si>
    <t>GDC-7A6S1 pin map and 3.3V compatibility</t>
  </si>
  <si>
    <t>Do not infer from another board</t>
  </si>
  <si>
    <t>C06</t>
  </si>
  <si>
    <t>Protection</t>
  </si>
  <si>
    <t>Hardware shutdown / emergency stop validated</t>
  </si>
  <si>
    <t>Bench supply limit is insufficient</t>
  </si>
  <si>
    <t>C07</t>
  </si>
  <si>
    <t>Phase current</t>
  </si>
  <si>
    <t>ADC scaling, bias, polarity and calibration</t>
  </si>
  <si>
    <t>Low current accuracy essential</t>
  </si>
  <si>
    <t>C08</t>
  </si>
  <si>
    <t>Encoder</t>
  </si>
  <si>
    <t>Eight pole pairs, angle, direction, alignment</t>
  </si>
  <si>
    <t>No open-loop forced startup on unsafe rig</t>
  </si>
  <si>
    <t>C09</t>
  </si>
  <si>
    <t>Power stage</t>
  </si>
  <si>
    <t>Approved dummy-load low-energy commissioning</t>
  </si>
  <si>
    <t>Motor disconnected</t>
  </si>
  <si>
    <t>C10</t>
  </si>
  <si>
    <t>Motor</t>
  </si>
  <si>
    <t>Formal approval for controlled powered test</t>
  </si>
  <si>
    <t>Required before data-taking</t>
  </si>
  <si>
    <t>5 | Loaded / No-Load Motor Test Log</t>
  </si>
  <si>
    <t>Use only after full commissioning. Torque must be within the verified useful sensor range. P_DC is average bus power; system efficiency includes inverter.</t>
  </si>
  <si>
    <t>Mode</t>
  </si>
  <si>
    <t>Target rpm</t>
  </si>
  <si>
    <t>Iq peak (A)</t>
  </si>
  <si>
    <t>I phase RMS (A)</t>
  </si>
  <si>
    <t>V DC (V)</t>
  </si>
  <si>
    <t>I DC mean (A)</t>
  </si>
  <si>
    <t>P DC measured (W)</t>
  </si>
  <si>
    <t>Torque shaft (mN m)</t>
  </si>
  <si>
    <t>P shaft (W)</t>
  </si>
  <si>
    <t>Efficiency (%)</t>
  </si>
  <si>
    <t>P DC est (W)</t>
  </si>
  <si>
    <t>Stator temp °C</t>
  </si>
  <si>
    <t>Load description</t>
  </si>
  <si>
    <t>Instrument / raw file</t>
  </si>
  <si>
    <t>Valid?</t>
  </si>
  <si>
    <t>M001</t>
  </si>
  <si>
    <t>M002</t>
  </si>
  <si>
    <t>M003</t>
  </si>
  <si>
    <t>M004</t>
  </si>
  <si>
    <t>M005</t>
  </si>
  <si>
    <t>M006</t>
  </si>
  <si>
    <t>M007</t>
  </si>
  <si>
    <t>M008</t>
  </si>
  <si>
    <t>M009</t>
  </si>
  <si>
    <t>M010</t>
  </si>
  <si>
    <t>M011</t>
  </si>
  <si>
    <t>M012</t>
  </si>
  <si>
    <t>M013</t>
  </si>
  <si>
    <t>M014</t>
  </si>
  <si>
    <t>M015</t>
  </si>
  <si>
    <t>M016</t>
  </si>
  <si>
    <t>M017</t>
  </si>
  <si>
    <t>M018</t>
  </si>
  <si>
    <t>M019</t>
  </si>
  <si>
    <t>M020</t>
  </si>
  <si>
    <t>M021</t>
  </si>
  <si>
    <t>M022</t>
  </si>
  <si>
    <t>M023</t>
  </si>
  <si>
    <t>M024</t>
  </si>
  <si>
    <t>M025</t>
  </si>
  <si>
    <t>M026</t>
  </si>
  <si>
    <t>M027</t>
  </si>
  <si>
    <t>M028</t>
  </si>
  <si>
    <t>M029</t>
  </si>
  <si>
    <t>M030</t>
  </si>
  <si>
    <t>6 | Session Summary</t>
  </si>
  <si>
    <t>Calculated summaries reflect recorded data only. Predicted values must not be entered as measurements.</t>
  </si>
  <si>
    <t>Calculated / recorded</t>
  </si>
  <si>
    <t>Meaning</t>
  </si>
  <si>
    <t>Recorded back-EMF rows</t>
  </si>
  <si>
    <t>Number of rows with measured RMS and shaft speed</t>
  </si>
  <si>
    <t>3 phase pairs × 3 proposed speeds × 3 repetitions</t>
  </si>
  <si>
    <t>Mean K inferred (mN m/A)</t>
  </si>
  <si>
    <t>Simple mean from individual valid numerical entries</t>
  </si>
  <si>
    <t>Interpret only with instrument uncertainty and actual gap</t>
  </si>
  <si>
    <t>Completed motor runs</t>
  </si>
  <si>
    <t>Number of motor points with rpm and torque</t>
  </si>
  <si>
    <t>Not proof that torque sensor is adequately ranged</t>
  </si>
  <si>
    <t>Maximum recorded shaft power (W)</t>
  </si>
  <si>
    <t>From recorded torque and speed</t>
  </si>
  <si>
    <t>Only if measured torque is credible</t>
  </si>
  <si>
    <t>Average available system efficiency (%)</t>
  </si>
  <si>
    <t>From measured DC input power and shaft power</t>
  </si>
  <si>
    <t>Excludes rows without both measurements</t>
  </si>
  <si>
    <t>Nominal reference K (mN m/A)</t>
  </si>
  <si>
    <t>Simulation: 1 mm nominal Rev0</t>
  </si>
  <si>
    <t>Not a measured value</t>
  </si>
  <si>
    <t>As-built Case C K (mN m/A)</t>
  </si>
  <si>
    <t>Simulation: 4 mm as-built Rev0</t>
  </si>
  <si>
    <t>Model-derived, sheet-current corrected</t>
  </si>
  <si>
    <t>As-built predicted ELL at 100 rpm (mV)</t>
  </si>
  <si>
    <t>Simulation</t>
  </si>
  <si>
    <t>Model-derived</t>
  </si>
  <si>
    <t>TODAY</t>
  </si>
  <si>
    <t>B</t>
  </si>
  <si>
    <t>C</t>
  </si>
  <si>
    <t>phase inductances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</si>
</sst>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&quot;%&quot;"/>
  </numFmts>
  <fonts count="5">
    <font>
      <sz val="11"/>
      <name val="Carlito"/>
    </font>
    <font>
      <b/>
      <sz val="16"/>
      <color rgb="FFFFFFFF"/>
      <name val="Carlito"/>
    </font>
    <font>
      <sz val="11"/>
      <color rgb="FF17324D"/>
      <name val="Carlito"/>
    </font>
    <font>
      <b/>
      <sz val="11"/>
      <color rgb="FFFFFFFF"/>
      <name val="Carlito"/>
    </font>
    <font>
      <b/>
      <sz val="11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AF4F5"/>
      </patternFill>
    </fill>
    <fill>
      <patternFill patternType="solid">
        <fgColor rgb="FF087E8B"/>
      </patternFill>
    </fill>
    <fill>
      <patternFill patternType="solid">
        <fgColor rgb="FFEAF2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3" borderId="0" xfId="0" applyFill="1"/>
    <xf numFmtId="0" fontId="3" fillId="4" borderId="0" xfId="0" applyFont="1" applyFill="1" applyAlignment="1">
      <alignment wrapText="1"/>
    </xf>
    <xf numFmtId="0" fontId="3" fillId="2" borderId="0" xfId="0" applyFont="1" applyFill="1"/>
    <xf numFmtId="0" fontId="0" fillId="5" borderId="0" xfId="0" applyFill="1"/>
    <xf numFmtId="2" fontId="0" fillId="0" borderId="0" xfId="0" applyNumberFormat="1"/>
    <xf numFmtId="164" fontId="0" fillId="0" borderId="0" xfId="0" applyNumberFormat="1"/>
    <xf numFmtId="0" fontId="4" fillId="0" borderId="0" xfId="0" applyFont="1"/>
    <xf numFmtId="0" fontId="1" fillId="2" borderId="0" xfId="0" applyFont="1" applyFill="1"/>
    <xf numFmtId="0" fontId="2" fillId="3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"/>
  <sheetViews>
    <sheetView workbookViewId="0">
      <pane ySplit="4" topLeftCell="A5" activePane="bottomLeft" state="frozen"/>
      <selection pane="bottomLeft" sqref="A1:D1"/>
    </sheetView>
  </sheetViews>
  <sheetFormatPr defaultRowHeight="13.8"/>
  <cols>
    <col min="1" max="1" width="17" customWidth="1"/>
    <col min="2" max="2" width="34" customWidth="1"/>
    <col min="3" max="3" width="48" customWidth="1"/>
    <col min="4" max="4" width="70" customWidth="1"/>
  </cols>
  <sheetData>
    <row r="1" spans="1:4" ht="31.95" customHeight="1">
      <c r="A1" s="8" t="s">
        <v>0</v>
      </c>
      <c r="B1" s="8"/>
      <c r="C1" s="8"/>
      <c r="D1" s="8"/>
    </row>
    <row r="2" spans="1:4" ht="30" customHeight="1">
      <c r="A2" s="9" t="s">
        <v>1</v>
      </c>
      <c r="B2" s="9"/>
      <c r="C2" s="9"/>
      <c r="D2" s="9"/>
    </row>
    <row r="4" spans="1:4" ht="34.049999999999997" customHeight="1">
      <c r="A4" s="2" t="s">
        <v>2</v>
      </c>
      <c r="B4" s="2" t="s">
        <v>3</v>
      </c>
      <c r="C4" s="2" t="s">
        <v>4</v>
      </c>
      <c r="D4" s="2" t="s">
        <v>5</v>
      </c>
    </row>
    <row r="5" spans="1:4">
      <c r="A5" t="s">
        <v>6</v>
      </c>
      <c r="B5" t="s">
        <v>7</v>
      </c>
      <c r="C5" t="s">
        <v>8</v>
      </c>
      <c r="D5" t="s">
        <v>9</v>
      </c>
    </row>
    <row r="6" spans="1:4">
      <c r="A6" t="s">
        <v>10</v>
      </c>
      <c r="B6" t="s">
        <v>11</v>
      </c>
      <c r="C6" t="s">
        <v>12</v>
      </c>
      <c r="D6" t="s">
        <v>13</v>
      </c>
    </row>
    <row r="7" spans="1:4">
      <c r="A7" t="s">
        <v>14</v>
      </c>
      <c r="B7" t="s">
        <v>15</v>
      </c>
      <c r="C7" t="s">
        <v>16</v>
      </c>
      <c r="D7" t="s">
        <v>17</v>
      </c>
    </row>
    <row r="8" spans="1:4">
      <c r="A8" t="s">
        <v>18</v>
      </c>
      <c r="B8" t="s">
        <v>19</v>
      </c>
      <c r="C8" t="s">
        <v>20</v>
      </c>
      <c r="D8" t="s">
        <v>21</v>
      </c>
    </row>
    <row r="9" spans="1:4">
      <c r="A9" t="s">
        <v>22</v>
      </c>
      <c r="B9" t="s">
        <v>23</v>
      </c>
      <c r="C9" t="s">
        <v>24</v>
      </c>
      <c r="D9" t="s">
        <v>25</v>
      </c>
    </row>
    <row r="10" spans="1:4">
      <c r="A10" t="s">
        <v>26</v>
      </c>
      <c r="B10" t="s">
        <v>27</v>
      </c>
      <c r="C10" t="s">
        <v>28</v>
      </c>
      <c r="D10" t="s">
        <v>29</v>
      </c>
    </row>
  </sheetData>
  <mergeCells count="2">
    <mergeCell ref="A1:D1"/>
    <mergeCell ref="A2:D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2"/>
  <sheetViews>
    <sheetView workbookViewId="0">
      <pane ySplit="4" topLeftCell="A5" activePane="bottomLeft" state="frozen"/>
      <selection pane="bottomLeft" activeCell="C12" sqref="C12"/>
    </sheetView>
  </sheetViews>
  <sheetFormatPr defaultRowHeight="13.8"/>
  <cols>
    <col min="1" max="1" width="23" customWidth="1"/>
    <col min="2" max="2" width="21" customWidth="1"/>
    <col min="3" max="3" width="19" customWidth="1"/>
    <col min="4" max="4" width="24" customWidth="1"/>
    <col min="5" max="5" width="40" customWidth="1"/>
    <col min="6" max="6" width="20" customWidth="1"/>
  </cols>
  <sheetData>
    <row r="1" spans="1:9" ht="31.95" customHeight="1">
      <c r="A1" s="8" t="s">
        <v>30</v>
      </c>
      <c r="B1" s="8"/>
      <c r="C1" s="8"/>
      <c r="D1" s="8"/>
      <c r="E1" s="8"/>
      <c r="F1" s="8"/>
    </row>
    <row r="2" spans="1:9" ht="30" customHeight="1">
      <c r="A2" s="9" t="s">
        <v>31</v>
      </c>
      <c r="B2" s="9"/>
      <c r="C2" s="9"/>
      <c r="D2" s="9"/>
      <c r="E2" s="9"/>
      <c r="F2" s="9"/>
    </row>
    <row r="4" spans="1:9" ht="34.049999999999997" customHeight="1">
      <c r="A4" s="2" t="s">
        <v>32</v>
      </c>
      <c r="B4" s="2" t="s">
        <v>33</v>
      </c>
      <c r="C4" s="2" t="s">
        <v>34</v>
      </c>
      <c r="D4" s="2" t="s">
        <v>35</v>
      </c>
      <c r="E4" s="2" t="s">
        <v>36</v>
      </c>
      <c r="F4" s="2" t="s">
        <v>37</v>
      </c>
      <c r="H4" s="3" t="s">
        <v>38</v>
      </c>
      <c r="I4" s="3" t="s">
        <v>39</v>
      </c>
    </row>
    <row r="5" spans="1:9">
      <c r="A5" t="s">
        <v>235</v>
      </c>
      <c r="B5">
        <v>0</v>
      </c>
      <c r="C5" s="4">
        <v>4</v>
      </c>
      <c r="D5" s="4"/>
      <c r="H5" t="s">
        <v>40</v>
      </c>
      <c r="I5">
        <f>IF(COUNT(C5:C12)=0,"",MIN(C5:C12))</f>
        <v>4</v>
      </c>
    </row>
    <row r="6" spans="1:9">
      <c r="B6">
        <v>45</v>
      </c>
      <c r="C6" s="4">
        <v>4</v>
      </c>
      <c r="D6" s="4"/>
      <c r="H6" t="s">
        <v>41</v>
      </c>
      <c r="I6">
        <f>IF(COUNT(C5:C12)=0,"",MAX(C5:C12))</f>
        <v>4</v>
      </c>
    </row>
    <row r="7" spans="1:9">
      <c r="B7">
        <v>90</v>
      </c>
      <c r="C7" s="4">
        <v>4</v>
      </c>
      <c r="D7" s="4"/>
      <c r="H7" t="s">
        <v>42</v>
      </c>
      <c r="I7">
        <f>IF(COUNT(C5:C12)=0,"",AVERAGE(C5:C12))</f>
        <v>4</v>
      </c>
    </row>
    <row r="8" spans="1:9">
      <c r="B8">
        <v>135</v>
      </c>
      <c r="C8" s="4">
        <v>4</v>
      </c>
      <c r="D8" s="4"/>
    </row>
    <row r="9" spans="1:9">
      <c r="B9">
        <v>180</v>
      </c>
      <c r="C9" s="4">
        <v>4</v>
      </c>
      <c r="D9" s="4"/>
    </row>
    <row r="10" spans="1:9">
      <c r="B10">
        <v>225</v>
      </c>
      <c r="C10" s="4">
        <v>4</v>
      </c>
      <c r="D10" s="4"/>
    </row>
    <row r="11" spans="1:9">
      <c r="B11">
        <v>270</v>
      </c>
      <c r="C11" s="4">
        <v>4</v>
      </c>
      <c r="D11" s="4"/>
    </row>
    <row r="12" spans="1:9">
      <c r="B12">
        <v>315</v>
      </c>
      <c r="C12" s="4">
        <v>4</v>
      </c>
      <c r="D12" s="4"/>
    </row>
  </sheetData>
  <mergeCells count="2">
    <mergeCell ref="A1:F1"/>
    <mergeCell ref="A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7"/>
  <sheetViews>
    <sheetView workbookViewId="0">
      <pane ySplit="4" topLeftCell="A5" activePane="bottomLeft" state="frozen"/>
      <selection pane="bottomLeft" activeCell="E15" sqref="E15"/>
    </sheetView>
  </sheetViews>
  <sheetFormatPr defaultRowHeight="13.8"/>
  <cols>
    <col min="1" max="1" width="22" customWidth="1"/>
    <col min="2" max="2" width="17" customWidth="1"/>
    <col min="3" max="3" width="16" customWidth="1"/>
    <col min="4" max="4" width="12" customWidth="1"/>
    <col min="5" max="5" width="19" customWidth="1"/>
    <col min="6" max="6" width="15" customWidth="1"/>
    <col min="7" max="7" width="29" customWidth="1"/>
    <col min="8" max="8" width="26" customWidth="1"/>
    <col min="9" max="9" width="42" customWidth="1"/>
  </cols>
  <sheetData>
    <row r="1" spans="1:9" ht="31.95" customHeight="1">
      <c r="A1" s="8" t="s">
        <v>43</v>
      </c>
      <c r="B1" s="8"/>
      <c r="C1" s="8"/>
      <c r="D1" s="8"/>
      <c r="E1" s="8"/>
      <c r="F1" s="8"/>
      <c r="G1" s="8"/>
      <c r="H1" s="8"/>
      <c r="I1" s="8"/>
    </row>
    <row r="2" spans="1:9" ht="30" customHeight="1">
      <c r="A2" s="9" t="s">
        <v>44</v>
      </c>
      <c r="B2" s="9"/>
      <c r="C2" s="9"/>
      <c r="D2" s="9"/>
      <c r="E2" s="9"/>
      <c r="F2" s="9"/>
      <c r="G2" s="9"/>
      <c r="H2" s="9"/>
      <c r="I2" s="9"/>
    </row>
    <row r="4" spans="1:9" ht="34.049999999999997" customHeight="1">
      <c r="A4" s="2" t="s">
        <v>45</v>
      </c>
      <c r="B4" s="2" t="s">
        <v>46</v>
      </c>
      <c r="C4" s="2" t="s">
        <v>47</v>
      </c>
      <c r="D4" s="2" t="s">
        <v>48</v>
      </c>
      <c r="E4" s="2" t="s">
        <v>49</v>
      </c>
      <c r="F4" s="2" t="s">
        <v>50</v>
      </c>
      <c r="G4" s="2" t="s">
        <v>51</v>
      </c>
      <c r="H4" s="2" t="s">
        <v>52</v>
      </c>
      <c r="I4" s="2" t="s">
        <v>53</v>
      </c>
    </row>
    <row r="5" spans="1:9">
      <c r="A5" t="s">
        <v>54</v>
      </c>
      <c r="B5" t="s">
        <v>55</v>
      </c>
      <c r="C5" s="4">
        <v>3.83</v>
      </c>
      <c r="D5" t="s">
        <v>56</v>
      </c>
    </row>
    <row r="6" spans="1:9">
      <c r="A6" t="s">
        <v>54</v>
      </c>
      <c r="B6" t="s">
        <v>57</v>
      </c>
      <c r="C6" s="4">
        <v>3.81</v>
      </c>
      <c r="D6" t="s">
        <v>56</v>
      </c>
    </row>
    <row r="7" spans="1:9">
      <c r="A7" t="s">
        <v>54</v>
      </c>
      <c r="B7" t="s">
        <v>58</v>
      </c>
      <c r="C7" s="4">
        <v>3.83</v>
      </c>
      <c r="D7" t="s">
        <v>56</v>
      </c>
    </row>
    <row r="8" spans="1:9">
      <c r="A8" t="s">
        <v>59</v>
      </c>
      <c r="B8" t="s">
        <v>60</v>
      </c>
      <c r="C8" s="4">
        <v>1.93</v>
      </c>
      <c r="D8" t="s">
        <v>56</v>
      </c>
    </row>
    <row r="9" spans="1:9">
      <c r="A9" t="s">
        <v>59</v>
      </c>
      <c r="B9" t="s">
        <v>61</v>
      </c>
      <c r="C9" s="4">
        <v>1.91</v>
      </c>
      <c r="D9" t="s">
        <v>56</v>
      </c>
    </row>
    <row r="10" spans="1:9">
      <c r="A10" t="s">
        <v>59</v>
      </c>
      <c r="B10" t="s">
        <v>62</v>
      </c>
      <c r="C10" s="4">
        <v>1.91</v>
      </c>
      <c r="D10" t="s">
        <v>56</v>
      </c>
    </row>
    <row r="11" spans="1:9">
      <c r="A11" t="s">
        <v>63</v>
      </c>
      <c r="B11" t="s">
        <v>55</v>
      </c>
      <c r="C11" s="4"/>
      <c r="D11" t="s">
        <v>64</v>
      </c>
      <c r="E11">
        <v>1000</v>
      </c>
    </row>
    <row r="12" spans="1:9">
      <c r="A12" t="s">
        <v>63</v>
      </c>
      <c r="B12" t="s">
        <v>57</v>
      </c>
      <c r="C12" s="4"/>
      <c r="D12" t="s">
        <v>64</v>
      </c>
      <c r="E12">
        <v>1000</v>
      </c>
    </row>
    <row r="13" spans="1:9">
      <c r="A13" t="s">
        <v>63</v>
      </c>
      <c r="B13" t="s">
        <v>58</v>
      </c>
      <c r="C13" s="4"/>
      <c r="D13" t="s">
        <v>64</v>
      </c>
      <c r="E13">
        <v>1000</v>
      </c>
    </row>
    <row r="14" spans="1:9">
      <c r="A14" t="s">
        <v>65</v>
      </c>
      <c r="B14" t="s">
        <v>66</v>
      </c>
      <c r="C14" s="4">
        <v>0.46</v>
      </c>
      <c r="D14" t="s">
        <v>56</v>
      </c>
    </row>
    <row r="15" spans="1:9">
      <c r="B15" t="s">
        <v>66</v>
      </c>
      <c r="C15">
        <v>36.0867</v>
      </c>
      <c r="D15" t="s">
        <v>64</v>
      </c>
      <c r="E15" t="s">
        <v>238</v>
      </c>
    </row>
    <row r="16" spans="1:9">
      <c r="B16" t="s">
        <v>236</v>
      </c>
      <c r="C16">
        <v>35.941899999999997</v>
      </c>
      <c r="D16" t="s">
        <v>64</v>
      </c>
    </row>
    <row r="17" spans="2:4">
      <c r="B17" t="s">
        <v>237</v>
      </c>
      <c r="C17" s="4">
        <v>36.056199999999997</v>
      </c>
      <c r="D17" t="s">
        <v>64</v>
      </c>
    </row>
  </sheetData>
  <mergeCells count="2">
    <mergeCell ref="A1:I1"/>
    <mergeCell ref="A2:I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31"/>
  <sheetViews>
    <sheetView workbookViewId="0">
      <pane ySplit="4" topLeftCell="A37" activePane="bottomLeft" state="frozen"/>
      <selection pane="bottomLeft" activeCell="E13" sqref="E13"/>
    </sheetView>
  </sheetViews>
  <sheetFormatPr defaultRowHeight="13.8"/>
  <cols>
    <col min="1" max="1" width="23" customWidth="1"/>
    <col min="2" max="2" width="14" customWidth="1"/>
    <col min="3" max="3" width="12" customWidth="1"/>
    <col min="4" max="4" width="13" customWidth="1"/>
    <col min="5" max="5" width="17" customWidth="1"/>
    <col min="6" max="6" width="22" customWidth="1"/>
    <col min="7" max="8" width="21" customWidth="1"/>
    <col min="9" max="9" width="25" customWidth="1"/>
    <col min="10" max="10" width="24" customWidth="1"/>
    <col min="11" max="11" width="17" customWidth="1"/>
    <col min="12" max="12" width="24" customWidth="1"/>
    <col min="13" max="13" width="37" customWidth="1"/>
    <col min="14" max="14" width="36" customWidth="1"/>
  </cols>
  <sheetData>
    <row r="1" spans="1:14" ht="31.95" customHeight="1">
      <c r="A1" s="8" t="s">
        <v>67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4" ht="30" customHeight="1">
      <c r="A2" s="9" t="s">
        <v>68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</row>
    <row r="4" spans="1:14" ht="34.049999999999997" customHeight="1">
      <c r="A4" s="2" t="s">
        <v>69</v>
      </c>
      <c r="B4" s="2" t="s">
        <v>70</v>
      </c>
      <c r="C4" s="2" t="s">
        <v>71</v>
      </c>
      <c r="D4" s="2" t="s">
        <v>72</v>
      </c>
      <c r="E4" s="2" t="s">
        <v>73</v>
      </c>
      <c r="F4" s="2" t="s">
        <v>74</v>
      </c>
      <c r="G4" s="2" t="s">
        <v>75</v>
      </c>
      <c r="H4" s="2" t="s">
        <v>76</v>
      </c>
      <c r="I4" s="2" t="s">
        <v>77</v>
      </c>
      <c r="J4" s="2" t="s">
        <v>78</v>
      </c>
      <c r="K4" s="2" t="s">
        <v>79</v>
      </c>
      <c r="L4" s="2" t="s">
        <v>80</v>
      </c>
      <c r="M4" s="2" t="s">
        <v>81</v>
      </c>
      <c r="N4" s="2" t="s">
        <v>53</v>
      </c>
    </row>
    <row r="5" spans="1:14">
      <c r="A5" t="s">
        <v>82</v>
      </c>
      <c r="B5">
        <v>50</v>
      </c>
      <c r="C5" t="s">
        <v>55</v>
      </c>
      <c r="D5">
        <v>1</v>
      </c>
      <c r="E5" s="4"/>
      <c r="F5" s="4"/>
      <c r="G5" s="4"/>
      <c r="H5" t="str">
        <f t="shared" ref="H5:H31" si="0">IF(E5="","",E5*8/60)</f>
        <v/>
      </c>
      <c r="I5">
        <v>48.4</v>
      </c>
      <c r="J5" t="str">
        <f t="shared" ref="J5:J31" si="1">IF(E5="","",E5*0.969)</f>
        <v/>
      </c>
      <c r="K5" s="5" t="str">
        <f t="shared" ref="K5:K31" si="2">IF(OR(F5="",J5=""),"",100*(F5-J5)/J5)</f>
        <v/>
      </c>
      <c r="L5" t="str">
        <f t="shared" ref="L5:L31" si="3">IF(OR(F5="",E5=""),"",F5*SQRT(2/3)/(2*PI()*E5/60))</f>
        <v/>
      </c>
      <c r="M5" s="4"/>
      <c r="N5" s="4"/>
    </row>
    <row r="6" spans="1:14">
      <c r="A6" t="s">
        <v>83</v>
      </c>
      <c r="B6">
        <v>50</v>
      </c>
      <c r="C6" t="s">
        <v>55</v>
      </c>
      <c r="D6">
        <v>2</v>
      </c>
      <c r="E6" s="4"/>
      <c r="F6" s="4"/>
      <c r="G6" s="4"/>
      <c r="H6" t="str">
        <f t="shared" si="0"/>
        <v/>
      </c>
      <c r="I6">
        <v>48.4</v>
      </c>
      <c r="J6" t="str">
        <f t="shared" si="1"/>
        <v/>
      </c>
      <c r="K6" s="5" t="str">
        <f t="shared" si="2"/>
        <v/>
      </c>
      <c r="L6" t="str">
        <f t="shared" si="3"/>
        <v/>
      </c>
      <c r="M6" s="4"/>
      <c r="N6" s="4"/>
    </row>
    <row r="7" spans="1:14">
      <c r="A7" t="s">
        <v>84</v>
      </c>
      <c r="B7">
        <v>50</v>
      </c>
      <c r="C7" t="s">
        <v>55</v>
      </c>
      <c r="D7">
        <v>3</v>
      </c>
      <c r="E7" s="4"/>
      <c r="F7" s="4"/>
      <c r="G7" s="4"/>
      <c r="H7" t="str">
        <f t="shared" si="0"/>
        <v/>
      </c>
      <c r="I7">
        <v>48.4</v>
      </c>
      <c r="J7" t="str">
        <f t="shared" si="1"/>
        <v/>
      </c>
      <c r="K7" s="5" t="str">
        <f t="shared" si="2"/>
        <v/>
      </c>
      <c r="L7" t="str">
        <f t="shared" si="3"/>
        <v/>
      </c>
      <c r="M7" s="4"/>
      <c r="N7" s="4"/>
    </row>
    <row r="8" spans="1:14">
      <c r="A8" t="s">
        <v>85</v>
      </c>
      <c r="B8">
        <v>50</v>
      </c>
      <c r="C8" t="s">
        <v>57</v>
      </c>
      <c r="D8">
        <v>1</v>
      </c>
      <c r="E8" s="4"/>
      <c r="F8" s="4"/>
      <c r="G8" s="4"/>
      <c r="H8" t="str">
        <f t="shared" si="0"/>
        <v/>
      </c>
      <c r="I8">
        <v>48.4</v>
      </c>
      <c r="J8" t="str">
        <f t="shared" si="1"/>
        <v/>
      </c>
      <c r="K8" s="5" t="str">
        <f t="shared" si="2"/>
        <v/>
      </c>
      <c r="L8" t="str">
        <f t="shared" si="3"/>
        <v/>
      </c>
      <c r="M8" s="4"/>
      <c r="N8" s="4"/>
    </row>
    <row r="9" spans="1:14">
      <c r="A9" t="s">
        <v>86</v>
      </c>
      <c r="B9">
        <v>50</v>
      </c>
      <c r="C9" t="s">
        <v>57</v>
      </c>
      <c r="D9">
        <v>2</v>
      </c>
      <c r="E9" s="4"/>
      <c r="F9" s="4"/>
      <c r="G9" s="4"/>
      <c r="H9" t="str">
        <f t="shared" si="0"/>
        <v/>
      </c>
      <c r="I9">
        <v>48.4</v>
      </c>
      <c r="J9" t="str">
        <f t="shared" si="1"/>
        <v/>
      </c>
      <c r="K9" s="5" t="str">
        <f t="shared" si="2"/>
        <v/>
      </c>
      <c r="L9" t="str">
        <f t="shared" si="3"/>
        <v/>
      </c>
      <c r="M9" s="4"/>
      <c r="N9" s="4"/>
    </row>
    <row r="10" spans="1:14">
      <c r="A10" t="s">
        <v>87</v>
      </c>
      <c r="B10">
        <v>50</v>
      </c>
      <c r="C10" t="s">
        <v>57</v>
      </c>
      <c r="D10">
        <v>3</v>
      </c>
      <c r="E10" s="4"/>
      <c r="F10" s="4"/>
      <c r="G10" s="4"/>
      <c r="H10" t="str">
        <f t="shared" si="0"/>
        <v/>
      </c>
      <c r="I10">
        <v>48.4</v>
      </c>
      <c r="J10" t="str">
        <f t="shared" si="1"/>
        <v/>
      </c>
      <c r="K10" s="5" t="str">
        <f t="shared" si="2"/>
        <v/>
      </c>
      <c r="L10" t="str">
        <f t="shared" si="3"/>
        <v/>
      </c>
      <c r="M10" s="4"/>
      <c r="N10" s="4"/>
    </row>
    <row r="11" spans="1:14">
      <c r="A11" t="s">
        <v>88</v>
      </c>
      <c r="B11">
        <v>50</v>
      </c>
      <c r="C11" t="s">
        <v>58</v>
      </c>
      <c r="D11">
        <v>1</v>
      </c>
      <c r="E11" s="4"/>
      <c r="F11" s="4"/>
      <c r="G11" s="4"/>
      <c r="H11" t="str">
        <f t="shared" si="0"/>
        <v/>
      </c>
      <c r="I11">
        <v>48.4</v>
      </c>
      <c r="J11" t="str">
        <f t="shared" si="1"/>
        <v/>
      </c>
      <c r="K11" s="5" t="str">
        <f t="shared" si="2"/>
        <v/>
      </c>
      <c r="L11" t="str">
        <f t="shared" si="3"/>
        <v/>
      </c>
      <c r="M11" s="4"/>
      <c r="N11" s="4"/>
    </row>
    <row r="12" spans="1:14">
      <c r="A12" t="s">
        <v>89</v>
      </c>
      <c r="B12">
        <v>50</v>
      </c>
      <c r="C12" t="s">
        <v>58</v>
      </c>
      <c r="D12">
        <v>2</v>
      </c>
      <c r="E12" s="4"/>
      <c r="F12" s="4"/>
      <c r="G12" s="4"/>
      <c r="H12" t="str">
        <f t="shared" si="0"/>
        <v/>
      </c>
      <c r="I12">
        <v>48.4</v>
      </c>
      <c r="J12" t="str">
        <f t="shared" si="1"/>
        <v/>
      </c>
      <c r="K12" s="5" t="str">
        <f t="shared" si="2"/>
        <v/>
      </c>
      <c r="L12" t="str">
        <f t="shared" si="3"/>
        <v/>
      </c>
      <c r="M12" s="4"/>
      <c r="N12" s="4"/>
    </row>
    <row r="13" spans="1:14">
      <c r="A13" t="s">
        <v>90</v>
      </c>
      <c r="B13">
        <v>50</v>
      </c>
      <c r="C13" t="s">
        <v>58</v>
      </c>
      <c r="D13">
        <v>3</v>
      </c>
      <c r="E13" s="4"/>
      <c r="F13" s="4"/>
      <c r="G13" s="4"/>
      <c r="H13" t="str">
        <f t="shared" si="0"/>
        <v/>
      </c>
      <c r="I13">
        <v>48.4</v>
      </c>
      <c r="J13" t="str">
        <f t="shared" si="1"/>
        <v/>
      </c>
      <c r="K13" s="5" t="str">
        <f t="shared" si="2"/>
        <v/>
      </c>
      <c r="L13" t="str">
        <f t="shared" si="3"/>
        <v/>
      </c>
      <c r="M13" s="4"/>
      <c r="N13" s="4"/>
    </row>
    <row r="14" spans="1:14">
      <c r="A14" t="s">
        <v>91</v>
      </c>
      <c r="B14">
        <v>100</v>
      </c>
      <c r="C14" t="s">
        <v>55</v>
      </c>
      <c r="D14">
        <v>1</v>
      </c>
      <c r="E14" s="4"/>
      <c r="F14" s="4"/>
      <c r="G14" s="4"/>
      <c r="H14" t="str">
        <f t="shared" si="0"/>
        <v/>
      </c>
      <c r="I14">
        <v>96.9</v>
      </c>
      <c r="J14" t="str">
        <f t="shared" si="1"/>
        <v/>
      </c>
      <c r="K14" s="5" t="str">
        <f t="shared" si="2"/>
        <v/>
      </c>
      <c r="L14" t="str">
        <f t="shared" si="3"/>
        <v/>
      </c>
      <c r="M14" s="4"/>
      <c r="N14" s="4"/>
    </row>
    <row r="15" spans="1:14">
      <c r="A15" t="s">
        <v>92</v>
      </c>
      <c r="B15">
        <v>100</v>
      </c>
      <c r="C15" t="s">
        <v>55</v>
      </c>
      <c r="D15">
        <v>2</v>
      </c>
      <c r="E15" s="4"/>
      <c r="F15" s="4"/>
      <c r="G15" s="4"/>
      <c r="H15" t="str">
        <f t="shared" si="0"/>
        <v/>
      </c>
      <c r="I15">
        <v>96.9</v>
      </c>
      <c r="J15" t="str">
        <f t="shared" si="1"/>
        <v/>
      </c>
      <c r="K15" s="5" t="str">
        <f t="shared" si="2"/>
        <v/>
      </c>
      <c r="L15" t="str">
        <f t="shared" si="3"/>
        <v/>
      </c>
      <c r="M15" s="4"/>
      <c r="N15" s="4"/>
    </row>
    <row r="16" spans="1:14">
      <c r="A16" t="s">
        <v>93</v>
      </c>
      <c r="B16">
        <v>100</v>
      </c>
      <c r="C16" t="s">
        <v>55</v>
      </c>
      <c r="D16">
        <v>3</v>
      </c>
      <c r="E16" s="4"/>
      <c r="F16" s="4"/>
      <c r="G16" s="4"/>
      <c r="H16" t="str">
        <f t="shared" si="0"/>
        <v/>
      </c>
      <c r="I16">
        <v>96.9</v>
      </c>
      <c r="J16" t="str">
        <f t="shared" si="1"/>
        <v/>
      </c>
      <c r="K16" s="5" t="str">
        <f t="shared" si="2"/>
        <v/>
      </c>
      <c r="L16" t="str">
        <f t="shared" si="3"/>
        <v/>
      </c>
      <c r="M16" s="4"/>
      <c r="N16" s="4"/>
    </row>
    <row r="17" spans="1:14">
      <c r="A17" t="s">
        <v>94</v>
      </c>
      <c r="B17">
        <v>100</v>
      </c>
      <c r="C17" t="s">
        <v>57</v>
      </c>
      <c r="D17">
        <v>1</v>
      </c>
      <c r="E17" s="4"/>
      <c r="F17" s="4"/>
      <c r="G17" s="4"/>
      <c r="H17" t="str">
        <f t="shared" si="0"/>
        <v/>
      </c>
      <c r="I17">
        <v>96.9</v>
      </c>
      <c r="J17" t="str">
        <f t="shared" si="1"/>
        <v/>
      </c>
      <c r="K17" s="5" t="str">
        <f t="shared" si="2"/>
        <v/>
      </c>
      <c r="L17" t="str">
        <f t="shared" si="3"/>
        <v/>
      </c>
      <c r="M17" s="4"/>
      <c r="N17" s="4"/>
    </row>
    <row r="18" spans="1:14">
      <c r="A18" t="s">
        <v>95</v>
      </c>
      <c r="B18">
        <v>100</v>
      </c>
      <c r="C18" t="s">
        <v>57</v>
      </c>
      <c r="D18">
        <v>2</v>
      </c>
      <c r="E18" s="4"/>
      <c r="F18" s="4"/>
      <c r="G18" s="4"/>
      <c r="H18" t="str">
        <f t="shared" si="0"/>
        <v/>
      </c>
      <c r="I18">
        <v>96.9</v>
      </c>
      <c r="J18" t="str">
        <f t="shared" si="1"/>
        <v/>
      </c>
      <c r="K18" s="5" t="str">
        <f t="shared" si="2"/>
        <v/>
      </c>
      <c r="L18" t="str">
        <f t="shared" si="3"/>
        <v/>
      </c>
      <c r="M18" s="4"/>
      <c r="N18" s="4"/>
    </row>
    <row r="19" spans="1:14">
      <c r="A19" t="s">
        <v>96</v>
      </c>
      <c r="B19">
        <v>100</v>
      </c>
      <c r="C19" t="s">
        <v>57</v>
      </c>
      <c r="D19">
        <v>3</v>
      </c>
      <c r="E19" s="4"/>
      <c r="F19" s="4"/>
      <c r="G19" s="4"/>
      <c r="H19" t="str">
        <f t="shared" si="0"/>
        <v/>
      </c>
      <c r="I19">
        <v>96.9</v>
      </c>
      <c r="J19" t="str">
        <f t="shared" si="1"/>
        <v/>
      </c>
      <c r="K19" s="5" t="str">
        <f t="shared" si="2"/>
        <v/>
      </c>
      <c r="L19" t="str">
        <f t="shared" si="3"/>
        <v/>
      </c>
      <c r="M19" s="4"/>
      <c r="N19" s="4"/>
    </row>
    <row r="20" spans="1:14">
      <c r="A20" t="s">
        <v>97</v>
      </c>
      <c r="B20">
        <v>100</v>
      </c>
      <c r="C20" t="s">
        <v>58</v>
      </c>
      <c r="D20">
        <v>1</v>
      </c>
      <c r="E20" s="4"/>
      <c r="F20" s="4"/>
      <c r="G20" s="4"/>
      <c r="H20" t="str">
        <f t="shared" si="0"/>
        <v/>
      </c>
      <c r="I20">
        <v>96.9</v>
      </c>
      <c r="J20" t="str">
        <f t="shared" si="1"/>
        <v/>
      </c>
      <c r="K20" s="5" t="str">
        <f t="shared" si="2"/>
        <v/>
      </c>
      <c r="L20" t="str">
        <f t="shared" si="3"/>
        <v/>
      </c>
      <c r="M20" s="4"/>
      <c r="N20" s="4"/>
    </row>
    <row r="21" spans="1:14">
      <c r="A21" t="s">
        <v>98</v>
      </c>
      <c r="B21">
        <v>100</v>
      </c>
      <c r="C21" t="s">
        <v>58</v>
      </c>
      <c r="D21">
        <v>2</v>
      </c>
      <c r="E21" s="4"/>
      <c r="F21" s="4"/>
      <c r="G21" s="4"/>
      <c r="H21" t="str">
        <f t="shared" si="0"/>
        <v/>
      </c>
      <c r="I21">
        <v>96.9</v>
      </c>
      <c r="J21" t="str">
        <f t="shared" si="1"/>
        <v/>
      </c>
      <c r="K21" s="5" t="str">
        <f t="shared" si="2"/>
        <v/>
      </c>
      <c r="L21" t="str">
        <f t="shared" si="3"/>
        <v/>
      </c>
      <c r="M21" s="4"/>
      <c r="N21" s="4"/>
    </row>
    <row r="22" spans="1:14">
      <c r="A22" t="s">
        <v>99</v>
      </c>
      <c r="B22">
        <v>100</v>
      </c>
      <c r="C22" t="s">
        <v>58</v>
      </c>
      <c r="D22">
        <v>3</v>
      </c>
      <c r="E22" s="4"/>
      <c r="F22" s="4"/>
      <c r="G22" s="4"/>
      <c r="H22" t="str">
        <f t="shared" si="0"/>
        <v/>
      </c>
      <c r="I22">
        <v>96.9</v>
      </c>
      <c r="J22" t="str">
        <f t="shared" si="1"/>
        <v/>
      </c>
      <c r="K22" s="5" t="str">
        <f t="shared" si="2"/>
        <v/>
      </c>
      <c r="L22" t="str">
        <f t="shared" si="3"/>
        <v/>
      </c>
      <c r="M22" s="4"/>
      <c r="N22" s="4"/>
    </row>
    <row r="23" spans="1:14">
      <c r="A23" t="s">
        <v>100</v>
      </c>
      <c r="B23">
        <v>150</v>
      </c>
      <c r="C23" t="s">
        <v>55</v>
      </c>
      <c r="D23">
        <v>1</v>
      </c>
      <c r="E23" s="4"/>
      <c r="F23" s="4"/>
      <c r="G23" s="4"/>
      <c r="H23" t="str">
        <f t="shared" si="0"/>
        <v/>
      </c>
      <c r="I23">
        <v>145.30000000000001</v>
      </c>
      <c r="J23" t="str">
        <f t="shared" si="1"/>
        <v/>
      </c>
      <c r="K23" s="5" t="str">
        <f t="shared" si="2"/>
        <v/>
      </c>
      <c r="L23" t="str">
        <f t="shared" si="3"/>
        <v/>
      </c>
      <c r="M23" s="4"/>
      <c r="N23" s="4"/>
    </row>
    <row r="24" spans="1:14">
      <c r="A24" t="s">
        <v>101</v>
      </c>
      <c r="B24">
        <v>150</v>
      </c>
      <c r="C24" t="s">
        <v>55</v>
      </c>
      <c r="D24">
        <v>2</v>
      </c>
      <c r="E24" s="4"/>
      <c r="F24" s="4"/>
      <c r="G24" s="4"/>
      <c r="H24" t="str">
        <f t="shared" si="0"/>
        <v/>
      </c>
      <c r="I24">
        <v>145.30000000000001</v>
      </c>
      <c r="J24" t="str">
        <f t="shared" si="1"/>
        <v/>
      </c>
      <c r="K24" s="5" t="str">
        <f t="shared" si="2"/>
        <v/>
      </c>
      <c r="L24" t="str">
        <f t="shared" si="3"/>
        <v/>
      </c>
      <c r="M24" s="4"/>
      <c r="N24" s="4"/>
    </row>
    <row r="25" spans="1:14">
      <c r="A25" t="s">
        <v>102</v>
      </c>
      <c r="B25">
        <v>150</v>
      </c>
      <c r="C25" t="s">
        <v>55</v>
      </c>
      <c r="D25">
        <v>3</v>
      </c>
      <c r="E25" s="4"/>
      <c r="F25" s="4"/>
      <c r="G25" s="4"/>
      <c r="H25" t="str">
        <f t="shared" si="0"/>
        <v/>
      </c>
      <c r="I25">
        <v>145.30000000000001</v>
      </c>
      <c r="J25" t="str">
        <f t="shared" si="1"/>
        <v/>
      </c>
      <c r="K25" s="5" t="str">
        <f t="shared" si="2"/>
        <v/>
      </c>
      <c r="L25" t="str">
        <f t="shared" si="3"/>
        <v/>
      </c>
      <c r="M25" s="4"/>
      <c r="N25" s="4"/>
    </row>
    <row r="26" spans="1:14">
      <c r="A26" t="s">
        <v>103</v>
      </c>
      <c r="B26">
        <v>150</v>
      </c>
      <c r="C26" t="s">
        <v>57</v>
      </c>
      <c r="D26">
        <v>1</v>
      </c>
      <c r="E26" s="4"/>
      <c r="F26" s="4"/>
      <c r="G26" s="4"/>
      <c r="H26" t="str">
        <f t="shared" si="0"/>
        <v/>
      </c>
      <c r="I26">
        <v>145.30000000000001</v>
      </c>
      <c r="J26" t="str">
        <f t="shared" si="1"/>
        <v/>
      </c>
      <c r="K26" s="5" t="str">
        <f t="shared" si="2"/>
        <v/>
      </c>
      <c r="L26" t="str">
        <f t="shared" si="3"/>
        <v/>
      </c>
      <c r="M26" s="4"/>
      <c r="N26" s="4"/>
    </row>
    <row r="27" spans="1:14">
      <c r="A27" t="s">
        <v>104</v>
      </c>
      <c r="B27">
        <v>150</v>
      </c>
      <c r="C27" t="s">
        <v>57</v>
      </c>
      <c r="D27">
        <v>2</v>
      </c>
      <c r="E27" s="4"/>
      <c r="F27" s="4"/>
      <c r="G27" s="4"/>
      <c r="H27" t="str">
        <f t="shared" si="0"/>
        <v/>
      </c>
      <c r="I27">
        <v>145.30000000000001</v>
      </c>
      <c r="J27" t="str">
        <f t="shared" si="1"/>
        <v/>
      </c>
      <c r="K27" s="5" t="str">
        <f t="shared" si="2"/>
        <v/>
      </c>
      <c r="L27" t="str">
        <f t="shared" si="3"/>
        <v/>
      </c>
      <c r="M27" s="4"/>
      <c r="N27" s="4"/>
    </row>
    <row r="28" spans="1:14">
      <c r="A28" t="s">
        <v>105</v>
      </c>
      <c r="B28">
        <v>150</v>
      </c>
      <c r="C28" t="s">
        <v>57</v>
      </c>
      <c r="D28">
        <v>3</v>
      </c>
      <c r="E28" s="4"/>
      <c r="F28" s="4"/>
      <c r="G28" s="4"/>
      <c r="H28" t="str">
        <f t="shared" si="0"/>
        <v/>
      </c>
      <c r="I28">
        <v>145.30000000000001</v>
      </c>
      <c r="J28" t="str">
        <f t="shared" si="1"/>
        <v/>
      </c>
      <c r="K28" s="5" t="str">
        <f t="shared" si="2"/>
        <v/>
      </c>
      <c r="L28" t="str">
        <f t="shared" si="3"/>
        <v/>
      </c>
      <c r="M28" s="4"/>
      <c r="N28" s="4"/>
    </row>
    <row r="29" spans="1:14">
      <c r="A29" t="s">
        <v>106</v>
      </c>
      <c r="B29">
        <v>150</v>
      </c>
      <c r="C29" t="s">
        <v>58</v>
      </c>
      <c r="D29">
        <v>1</v>
      </c>
      <c r="E29" s="4"/>
      <c r="F29" s="4"/>
      <c r="G29" s="4"/>
      <c r="H29" t="str">
        <f t="shared" si="0"/>
        <v/>
      </c>
      <c r="I29">
        <v>145.30000000000001</v>
      </c>
      <c r="J29" t="str">
        <f t="shared" si="1"/>
        <v/>
      </c>
      <c r="K29" s="5" t="str">
        <f t="shared" si="2"/>
        <v/>
      </c>
      <c r="L29" t="str">
        <f t="shared" si="3"/>
        <v/>
      </c>
      <c r="M29" s="4"/>
      <c r="N29" s="4"/>
    </row>
    <row r="30" spans="1:14">
      <c r="A30" t="s">
        <v>107</v>
      </c>
      <c r="B30">
        <v>150</v>
      </c>
      <c r="C30" t="s">
        <v>58</v>
      </c>
      <c r="D30">
        <v>2</v>
      </c>
      <c r="E30" s="4"/>
      <c r="F30" s="4"/>
      <c r="G30" s="4"/>
      <c r="H30" t="str">
        <f t="shared" si="0"/>
        <v/>
      </c>
      <c r="I30">
        <v>145.30000000000001</v>
      </c>
      <c r="J30" t="str">
        <f t="shared" si="1"/>
        <v/>
      </c>
      <c r="K30" s="5" t="str">
        <f t="shared" si="2"/>
        <v/>
      </c>
      <c r="L30" t="str">
        <f t="shared" si="3"/>
        <v/>
      </c>
      <c r="M30" s="4"/>
      <c r="N30" s="4"/>
    </row>
    <row r="31" spans="1:14">
      <c r="A31" t="s">
        <v>108</v>
      </c>
      <c r="B31">
        <v>150</v>
      </c>
      <c r="C31" t="s">
        <v>58</v>
      </c>
      <c r="D31">
        <v>3</v>
      </c>
      <c r="E31" s="4"/>
      <c r="F31" s="4"/>
      <c r="G31" s="4"/>
      <c r="H31" t="str">
        <f t="shared" si="0"/>
        <v/>
      </c>
      <c r="I31">
        <v>145.30000000000001</v>
      </c>
      <c r="J31" t="str">
        <f t="shared" si="1"/>
        <v/>
      </c>
      <c r="K31" s="5" t="str">
        <f t="shared" si="2"/>
        <v/>
      </c>
      <c r="L31" t="str">
        <f t="shared" si="3"/>
        <v/>
      </c>
      <c r="M31" s="4"/>
      <c r="N31" s="4"/>
    </row>
  </sheetData>
  <mergeCells count="2">
    <mergeCell ref="A1:N1"/>
    <mergeCell ref="A2:N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4"/>
  <sheetViews>
    <sheetView tabSelected="1" workbookViewId="0">
      <pane ySplit="4" topLeftCell="A5" activePane="bottomLeft" state="frozen"/>
      <selection pane="bottomLeft" activeCell="A3" sqref="A3"/>
    </sheetView>
  </sheetViews>
  <sheetFormatPr defaultRowHeight="13.8"/>
  <cols>
    <col min="1" max="1" width="13" customWidth="1"/>
    <col min="2" max="2" width="21" customWidth="1"/>
    <col min="3" max="3" width="56" customWidth="1"/>
    <col min="4" max="4" width="19" customWidth="1"/>
    <col min="5" max="5" width="23" customWidth="1"/>
    <col min="6" max="6" width="36" customWidth="1"/>
    <col min="7" max="7" width="18" customWidth="1"/>
    <col min="8" max="8" width="48" customWidth="1"/>
  </cols>
  <sheetData>
    <row r="1" spans="1:8" ht="31.95" customHeight="1">
      <c r="A1" s="8" t="s">
        <v>109</v>
      </c>
      <c r="B1" s="8"/>
      <c r="C1" s="8"/>
      <c r="D1" s="8"/>
      <c r="E1" s="8"/>
      <c r="F1" s="8"/>
      <c r="G1" s="8"/>
      <c r="H1" s="8"/>
    </row>
    <row r="2" spans="1:8" ht="30" customHeight="1">
      <c r="A2" s="9" t="s">
        <v>110</v>
      </c>
      <c r="B2" s="9"/>
      <c r="C2" s="9"/>
      <c r="D2" s="9"/>
      <c r="E2" s="9"/>
      <c r="F2" s="9"/>
      <c r="G2" s="9"/>
      <c r="H2" s="9"/>
    </row>
    <row r="4" spans="1:8" ht="34.049999999999997" customHeight="1">
      <c r="A4" s="2" t="s">
        <v>111</v>
      </c>
      <c r="B4" s="2" t="s">
        <v>112</v>
      </c>
      <c r="C4" s="2" t="s">
        <v>113</v>
      </c>
      <c r="D4" s="2" t="s">
        <v>114</v>
      </c>
      <c r="E4" s="2" t="s">
        <v>115</v>
      </c>
      <c r="F4" s="2" t="s">
        <v>116</v>
      </c>
      <c r="G4" s="2" t="s">
        <v>117</v>
      </c>
      <c r="H4" s="2" t="s">
        <v>118</v>
      </c>
    </row>
    <row r="5" spans="1:8">
      <c r="A5" t="s">
        <v>119</v>
      </c>
      <c r="B5" t="s">
        <v>120</v>
      </c>
      <c r="C5" t="s">
        <v>121</v>
      </c>
      <c r="D5" s="4" t="s">
        <v>122</v>
      </c>
      <c r="E5" s="4"/>
      <c r="F5" s="4"/>
      <c r="G5" s="4"/>
      <c r="H5" t="s">
        <v>123</v>
      </c>
    </row>
    <row r="6" spans="1:8">
      <c r="A6" t="s">
        <v>124</v>
      </c>
      <c r="B6" t="s">
        <v>125</v>
      </c>
      <c r="C6" t="s">
        <v>126</v>
      </c>
      <c r="D6" s="4" t="s">
        <v>122</v>
      </c>
      <c r="E6" s="4"/>
      <c r="F6" s="4"/>
      <c r="G6" s="4"/>
      <c r="H6" t="s">
        <v>127</v>
      </c>
    </row>
    <row r="7" spans="1:8">
      <c r="A7" t="s">
        <v>128</v>
      </c>
      <c r="B7" t="s">
        <v>129</v>
      </c>
      <c r="C7" t="s">
        <v>130</v>
      </c>
      <c r="D7" s="4" t="s">
        <v>122</v>
      </c>
      <c r="E7" s="4"/>
      <c r="F7" s="4"/>
      <c r="G7" s="4"/>
      <c r="H7" t="s">
        <v>131</v>
      </c>
    </row>
    <row r="8" spans="1:8">
      <c r="A8" t="s">
        <v>132</v>
      </c>
      <c r="B8" t="s">
        <v>133</v>
      </c>
      <c r="C8" t="s">
        <v>134</v>
      </c>
      <c r="D8" s="4" t="s">
        <v>122</v>
      </c>
      <c r="E8" s="4"/>
      <c r="F8" s="4"/>
      <c r="G8" s="4"/>
      <c r="H8" t="s">
        <v>135</v>
      </c>
    </row>
    <row r="9" spans="1:8">
      <c r="A9" t="s">
        <v>136</v>
      </c>
      <c r="B9" t="s">
        <v>137</v>
      </c>
      <c r="C9" t="s">
        <v>138</v>
      </c>
      <c r="D9" s="4" t="s">
        <v>122</v>
      </c>
      <c r="E9" s="4"/>
      <c r="F9" s="4"/>
      <c r="G9" s="4"/>
      <c r="H9" t="s">
        <v>139</v>
      </c>
    </row>
    <row r="10" spans="1:8">
      <c r="A10" t="s">
        <v>140</v>
      </c>
      <c r="B10" t="s">
        <v>141</v>
      </c>
      <c r="C10" t="s">
        <v>142</v>
      </c>
      <c r="D10" s="4" t="s">
        <v>122</v>
      </c>
      <c r="E10" s="4"/>
      <c r="F10" s="4"/>
      <c r="G10" s="4"/>
      <c r="H10" t="s">
        <v>143</v>
      </c>
    </row>
    <row r="11" spans="1:8">
      <c r="A11" t="s">
        <v>144</v>
      </c>
      <c r="B11" t="s">
        <v>145</v>
      </c>
      <c r="C11" t="s">
        <v>146</v>
      </c>
      <c r="D11" s="4" t="s">
        <v>122</v>
      </c>
      <c r="E11" s="4"/>
      <c r="F11" s="4"/>
      <c r="G11" s="4"/>
      <c r="H11" t="s">
        <v>147</v>
      </c>
    </row>
    <row r="12" spans="1:8">
      <c r="A12" t="s">
        <v>148</v>
      </c>
      <c r="B12" t="s">
        <v>149</v>
      </c>
      <c r="C12" t="s">
        <v>150</v>
      </c>
      <c r="D12" s="4" t="s">
        <v>122</v>
      </c>
      <c r="E12" s="4"/>
      <c r="F12" s="4"/>
      <c r="G12" s="4"/>
      <c r="H12" t="s">
        <v>151</v>
      </c>
    </row>
    <row r="13" spans="1:8">
      <c r="A13" t="s">
        <v>152</v>
      </c>
      <c r="B13" t="s">
        <v>153</v>
      </c>
      <c r="C13" t="s">
        <v>154</v>
      </c>
      <c r="D13" s="4" t="s">
        <v>122</v>
      </c>
      <c r="E13" s="4"/>
      <c r="F13" s="4"/>
      <c r="G13" s="4"/>
      <c r="H13" t="s">
        <v>155</v>
      </c>
    </row>
    <row r="14" spans="1:8">
      <c r="A14" t="s">
        <v>156</v>
      </c>
      <c r="B14" t="s">
        <v>157</v>
      </c>
      <c r="C14" t="s">
        <v>158</v>
      </c>
      <c r="D14" s="4" t="s">
        <v>122</v>
      </c>
      <c r="E14" s="4"/>
      <c r="F14" s="4"/>
      <c r="G14" s="4"/>
      <c r="H14" t="s">
        <v>159</v>
      </c>
    </row>
  </sheetData>
  <mergeCells count="2">
    <mergeCell ref="A1:H1"/>
    <mergeCell ref="A2:H2"/>
  </mergeCells>
  <dataValidations count="1">
    <dataValidation type="list" sqref="D5:D14" xr:uid="{00000000-0002-0000-0400-000000000000}">
      <formula1>"Not checked,Pass,Fail,N/A"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34"/>
  <sheetViews>
    <sheetView workbookViewId="0">
      <pane ySplit="4" topLeftCell="A5" activePane="bottomLeft" state="frozen"/>
      <selection pane="bottomLeft" sqref="A1:S1"/>
    </sheetView>
  </sheetViews>
  <sheetFormatPr defaultRowHeight="13.8"/>
  <cols>
    <col min="1" max="1" width="13" customWidth="1"/>
    <col min="2" max="4" width="16" customWidth="1"/>
    <col min="5" max="5" width="18" customWidth="1"/>
    <col min="6" max="6" width="20" customWidth="1"/>
    <col min="7" max="7" width="16" customWidth="1"/>
    <col min="8" max="8" width="21" customWidth="1"/>
    <col min="9" max="9" width="24" customWidth="1"/>
    <col min="10" max="10" width="22" customWidth="1"/>
    <col min="11" max="11" width="20" customWidth="1"/>
    <col min="12" max="12" width="17" customWidth="1"/>
    <col min="13" max="14" width="20" customWidth="1"/>
    <col min="15" max="15" width="18" customWidth="1"/>
    <col min="16" max="16" width="31" customWidth="1"/>
    <col min="17" max="17" width="38" customWidth="1"/>
    <col min="18" max="18" width="15" customWidth="1"/>
    <col min="19" max="19" width="40" customWidth="1"/>
  </cols>
  <sheetData>
    <row r="1" spans="1:19" ht="31.95" customHeight="1">
      <c r="A1" s="8" t="s">
        <v>160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</row>
    <row r="2" spans="1:19" ht="30" customHeight="1">
      <c r="A2" s="9" t="s">
        <v>161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</row>
    <row r="4" spans="1:19" ht="34.049999999999997" customHeight="1">
      <c r="A4" s="2" t="s">
        <v>69</v>
      </c>
      <c r="B4" s="2" t="s">
        <v>162</v>
      </c>
      <c r="C4" s="2" t="s">
        <v>163</v>
      </c>
      <c r="D4" s="2" t="s">
        <v>73</v>
      </c>
      <c r="E4" s="2" t="s">
        <v>164</v>
      </c>
      <c r="F4" s="2" t="s">
        <v>165</v>
      </c>
      <c r="G4" s="2" t="s">
        <v>166</v>
      </c>
      <c r="H4" s="2" t="s">
        <v>167</v>
      </c>
      <c r="I4" s="2" t="s">
        <v>168</v>
      </c>
      <c r="J4" s="2" t="s">
        <v>169</v>
      </c>
      <c r="K4" s="2" t="s">
        <v>170</v>
      </c>
      <c r="L4" s="2" t="s">
        <v>171</v>
      </c>
      <c r="M4" s="2" t="s">
        <v>172</v>
      </c>
      <c r="N4" s="2" t="s">
        <v>173</v>
      </c>
      <c r="O4" s="2" t="s">
        <v>50</v>
      </c>
      <c r="P4" s="2" t="s">
        <v>174</v>
      </c>
      <c r="Q4" s="2" t="s">
        <v>175</v>
      </c>
      <c r="R4" s="2" t="s">
        <v>176</v>
      </c>
      <c r="S4" s="2" t="s">
        <v>53</v>
      </c>
    </row>
    <row r="5" spans="1:19">
      <c r="A5" t="s">
        <v>177</v>
      </c>
      <c r="B5" s="4"/>
      <c r="C5" s="4"/>
      <c r="D5" s="4"/>
      <c r="E5" s="4"/>
      <c r="F5" s="4"/>
      <c r="G5" s="4"/>
      <c r="H5" s="4"/>
      <c r="I5" s="4"/>
      <c r="J5" s="4"/>
      <c r="K5" t="str">
        <f t="shared" ref="K5:K34" si="0">IF(OR(D5="",J5=""),"",J5/1000*2*PI()*D5/60)</f>
        <v/>
      </c>
      <c r="L5" s="6" t="str">
        <f t="shared" ref="L5:L34" si="1">IF(OR(K5="",I5="",I5&lt;=0),"",100*K5/I5)</f>
        <v/>
      </c>
      <c r="M5" t="str">
        <f t="shared" ref="M5:M34" si="2">IF(OR(G5="",H5=""),"",G5*H5)</f>
        <v/>
      </c>
      <c r="N5" s="4"/>
      <c r="O5" s="4"/>
      <c r="P5" s="4"/>
      <c r="Q5" s="4"/>
      <c r="R5" s="4"/>
      <c r="S5" s="4"/>
    </row>
    <row r="6" spans="1:19">
      <c r="A6" t="s">
        <v>178</v>
      </c>
      <c r="B6" s="4"/>
      <c r="C6" s="4"/>
      <c r="D6" s="4"/>
      <c r="E6" s="4"/>
      <c r="F6" s="4"/>
      <c r="G6" s="4"/>
      <c r="H6" s="4"/>
      <c r="I6" s="4"/>
      <c r="J6" s="4"/>
      <c r="K6" t="str">
        <f t="shared" si="0"/>
        <v/>
      </c>
      <c r="L6" s="6" t="str">
        <f t="shared" si="1"/>
        <v/>
      </c>
      <c r="M6" t="str">
        <f t="shared" si="2"/>
        <v/>
      </c>
      <c r="N6" s="4"/>
      <c r="O6" s="4"/>
      <c r="P6" s="4"/>
      <c r="Q6" s="4"/>
      <c r="R6" s="4"/>
      <c r="S6" s="4"/>
    </row>
    <row r="7" spans="1:19">
      <c r="A7" t="s">
        <v>179</v>
      </c>
      <c r="B7" s="4"/>
      <c r="C7" s="4"/>
      <c r="D7" s="4"/>
      <c r="E7" s="4"/>
      <c r="F7" s="4"/>
      <c r="G7" s="4"/>
      <c r="H7" s="4"/>
      <c r="I7" s="4"/>
      <c r="J7" s="4"/>
      <c r="K7" t="str">
        <f t="shared" si="0"/>
        <v/>
      </c>
      <c r="L7" s="6" t="str">
        <f t="shared" si="1"/>
        <v/>
      </c>
      <c r="M7" t="str">
        <f t="shared" si="2"/>
        <v/>
      </c>
      <c r="N7" s="4"/>
      <c r="O7" s="4"/>
      <c r="P7" s="4"/>
      <c r="Q7" s="4"/>
      <c r="R7" s="4"/>
      <c r="S7" s="4"/>
    </row>
    <row r="8" spans="1:19">
      <c r="A8" t="s">
        <v>180</v>
      </c>
      <c r="B8" s="4"/>
      <c r="C8" s="4"/>
      <c r="D8" s="4"/>
      <c r="E8" s="4"/>
      <c r="F8" s="4"/>
      <c r="G8" s="4"/>
      <c r="H8" s="4"/>
      <c r="I8" s="4"/>
      <c r="J8" s="4"/>
      <c r="K8" t="str">
        <f t="shared" si="0"/>
        <v/>
      </c>
      <c r="L8" s="6" t="str">
        <f t="shared" si="1"/>
        <v/>
      </c>
      <c r="M8" t="str">
        <f t="shared" si="2"/>
        <v/>
      </c>
      <c r="N8" s="4"/>
      <c r="O8" s="4"/>
      <c r="P8" s="4"/>
      <c r="Q8" s="4"/>
      <c r="R8" s="4"/>
      <c r="S8" s="4"/>
    </row>
    <row r="9" spans="1:19">
      <c r="A9" t="s">
        <v>181</v>
      </c>
      <c r="B9" s="4"/>
      <c r="C9" s="4"/>
      <c r="D9" s="4"/>
      <c r="E9" s="4"/>
      <c r="F9" s="4"/>
      <c r="G9" s="4"/>
      <c r="H9" s="4"/>
      <c r="I9" s="4"/>
      <c r="J9" s="4"/>
      <c r="K9" t="str">
        <f t="shared" si="0"/>
        <v/>
      </c>
      <c r="L9" s="6" t="str">
        <f t="shared" si="1"/>
        <v/>
      </c>
      <c r="M9" t="str">
        <f t="shared" si="2"/>
        <v/>
      </c>
      <c r="N9" s="4"/>
      <c r="O9" s="4"/>
      <c r="P9" s="4"/>
      <c r="Q9" s="4"/>
      <c r="R9" s="4"/>
      <c r="S9" s="4"/>
    </row>
    <row r="10" spans="1:19">
      <c r="A10" t="s">
        <v>182</v>
      </c>
      <c r="B10" s="4"/>
      <c r="C10" s="4"/>
      <c r="D10" s="4"/>
      <c r="E10" s="4"/>
      <c r="F10" s="4"/>
      <c r="G10" s="4"/>
      <c r="H10" s="4"/>
      <c r="I10" s="4"/>
      <c r="J10" s="4"/>
      <c r="K10" t="str">
        <f t="shared" si="0"/>
        <v/>
      </c>
      <c r="L10" s="6" t="str">
        <f t="shared" si="1"/>
        <v/>
      </c>
      <c r="M10" t="str">
        <f t="shared" si="2"/>
        <v/>
      </c>
      <c r="N10" s="4"/>
      <c r="O10" s="4"/>
      <c r="P10" s="4"/>
      <c r="Q10" s="4"/>
      <c r="R10" s="4"/>
      <c r="S10" s="4"/>
    </row>
    <row r="11" spans="1:19">
      <c r="A11" t="s">
        <v>183</v>
      </c>
      <c r="B11" s="4"/>
      <c r="C11" s="4"/>
      <c r="D11" s="4"/>
      <c r="E11" s="4"/>
      <c r="F11" s="4"/>
      <c r="G11" s="4"/>
      <c r="H11" s="4"/>
      <c r="I11" s="4"/>
      <c r="J11" s="4"/>
      <c r="K11" t="str">
        <f t="shared" si="0"/>
        <v/>
      </c>
      <c r="L11" s="6" t="str">
        <f t="shared" si="1"/>
        <v/>
      </c>
      <c r="M11" t="str">
        <f t="shared" si="2"/>
        <v/>
      </c>
      <c r="N11" s="4"/>
      <c r="O11" s="4"/>
      <c r="P11" s="4"/>
      <c r="Q11" s="4"/>
      <c r="R11" s="4"/>
      <c r="S11" s="4"/>
    </row>
    <row r="12" spans="1:19">
      <c r="A12" t="s">
        <v>184</v>
      </c>
      <c r="B12" s="4"/>
      <c r="C12" s="4"/>
      <c r="D12" s="4"/>
      <c r="E12" s="4"/>
      <c r="F12" s="4"/>
      <c r="G12" s="4"/>
      <c r="H12" s="4"/>
      <c r="I12" s="4"/>
      <c r="J12" s="4"/>
      <c r="K12" t="str">
        <f t="shared" si="0"/>
        <v/>
      </c>
      <c r="L12" s="6" t="str">
        <f t="shared" si="1"/>
        <v/>
      </c>
      <c r="M12" t="str">
        <f t="shared" si="2"/>
        <v/>
      </c>
      <c r="N12" s="4"/>
      <c r="O12" s="4"/>
      <c r="P12" s="4"/>
      <c r="Q12" s="4"/>
      <c r="R12" s="4"/>
      <c r="S12" s="4"/>
    </row>
    <row r="13" spans="1:19">
      <c r="A13" t="s">
        <v>185</v>
      </c>
      <c r="B13" s="4"/>
      <c r="C13" s="4"/>
      <c r="D13" s="4"/>
      <c r="E13" s="4"/>
      <c r="F13" s="4"/>
      <c r="G13" s="4"/>
      <c r="H13" s="4"/>
      <c r="I13" s="4"/>
      <c r="J13" s="4"/>
      <c r="K13" t="str">
        <f t="shared" si="0"/>
        <v/>
      </c>
      <c r="L13" s="6" t="str">
        <f t="shared" si="1"/>
        <v/>
      </c>
      <c r="M13" t="str">
        <f t="shared" si="2"/>
        <v/>
      </c>
      <c r="N13" s="4"/>
      <c r="O13" s="4"/>
      <c r="P13" s="4"/>
      <c r="Q13" s="4"/>
      <c r="R13" s="4"/>
      <c r="S13" s="4"/>
    </row>
    <row r="14" spans="1:19">
      <c r="A14" t="s">
        <v>186</v>
      </c>
      <c r="B14" s="4"/>
      <c r="C14" s="4"/>
      <c r="D14" s="4"/>
      <c r="E14" s="4"/>
      <c r="F14" s="4"/>
      <c r="G14" s="4"/>
      <c r="H14" s="4"/>
      <c r="I14" s="4"/>
      <c r="J14" s="4"/>
      <c r="K14" t="str">
        <f t="shared" si="0"/>
        <v/>
      </c>
      <c r="L14" s="6" t="str">
        <f t="shared" si="1"/>
        <v/>
      </c>
      <c r="M14" t="str">
        <f t="shared" si="2"/>
        <v/>
      </c>
      <c r="N14" s="4"/>
      <c r="O14" s="4"/>
      <c r="P14" s="4"/>
      <c r="Q14" s="4"/>
      <c r="R14" s="4"/>
      <c r="S14" s="4"/>
    </row>
    <row r="15" spans="1:19">
      <c r="A15" t="s">
        <v>187</v>
      </c>
      <c r="B15" s="4"/>
      <c r="C15" s="4"/>
      <c r="D15" s="4"/>
      <c r="E15" s="4"/>
      <c r="F15" s="4"/>
      <c r="G15" s="4"/>
      <c r="H15" s="4"/>
      <c r="I15" s="4"/>
      <c r="J15" s="4"/>
      <c r="K15" t="str">
        <f t="shared" si="0"/>
        <v/>
      </c>
      <c r="L15" s="6" t="str">
        <f t="shared" si="1"/>
        <v/>
      </c>
      <c r="M15" t="str">
        <f t="shared" si="2"/>
        <v/>
      </c>
      <c r="N15" s="4"/>
      <c r="O15" s="4"/>
      <c r="P15" s="4"/>
      <c r="Q15" s="4"/>
      <c r="R15" s="4"/>
      <c r="S15" s="4"/>
    </row>
    <row r="16" spans="1:19">
      <c r="A16" t="s">
        <v>188</v>
      </c>
      <c r="B16" s="4"/>
      <c r="C16" s="4"/>
      <c r="D16" s="4"/>
      <c r="E16" s="4"/>
      <c r="F16" s="4"/>
      <c r="G16" s="4"/>
      <c r="H16" s="4"/>
      <c r="I16" s="4"/>
      <c r="J16" s="4"/>
      <c r="K16" t="str">
        <f t="shared" si="0"/>
        <v/>
      </c>
      <c r="L16" s="6" t="str">
        <f t="shared" si="1"/>
        <v/>
      </c>
      <c r="M16" t="str">
        <f t="shared" si="2"/>
        <v/>
      </c>
      <c r="N16" s="4"/>
      <c r="O16" s="4"/>
      <c r="P16" s="4"/>
      <c r="Q16" s="4"/>
      <c r="R16" s="4"/>
      <c r="S16" s="4"/>
    </row>
    <row r="17" spans="1:19">
      <c r="A17" t="s">
        <v>189</v>
      </c>
      <c r="B17" s="4"/>
      <c r="C17" s="4"/>
      <c r="D17" s="4"/>
      <c r="E17" s="4"/>
      <c r="F17" s="4"/>
      <c r="G17" s="4"/>
      <c r="H17" s="4"/>
      <c r="I17" s="4"/>
      <c r="J17" s="4"/>
      <c r="K17" t="str">
        <f t="shared" si="0"/>
        <v/>
      </c>
      <c r="L17" s="6" t="str">
        <f t="shared" si="1"/>
        <v/>
      </c>
      <c r="M17" t="str">
        <f t="shared" si="2"/>
        <v/>
      </c>
      <c r="N17" s="4"/>
      <c r="O17" s="4"/>
      <c r="P17" s="4"/>
      <c r="Q17" s="4"/>
      <c r="R17" s="4"/>
      <c r="S17" s="4"/>
    </row>
    <row r="18" spans="1:19">
      <c r="A18" t="s">
        <v>190</v>
      </c>
      <c r="B18" s="4"/>
      <c r="C18" s="4"/>
      <c r="D18" s="4"/>
      <c r="E18" s="4"/>
      <c r="F18" s="4"/>
      <c r="G18" s="4"/>
      <c r="H18" s="4"/>
      <c r="I18" s="4"/>
      <c r="J18" s="4"/>
      <c r="K18" t="str">
        <f t="shared" si="0"/>
        <v/>
      </c>
      <c r="L18" s="6" t="str">
        <f t="shared" si="1"/>
        <v/>
      </c>
      <c r="M18" t="str">
        <f t="shared" si="2"/>
        <v/>
      </c>
      <c r="N18" s="4"/>
      <c r="O18" s="4"/>
      <c r="P18" s="4"/>
      <c r="Q18" s="4"/>
      <c r="R18" s="4"/>
      <c r="S18" s="4"/>
    </row>
    <row r="19" spans="1:19">
      <c r="A19" t="s">
        <v>191</v>
      </c>
      <c r="B19" s="4"/>
      <c r="C19" s="4"/>
      <c r="D19" s="4"/>
      <c r="E19" s="4"/>
      <c r="F19" s="4"/>
      <c r="G19" s="4"/>
      <c r="H19" s="4"/>
      <c r="I19" s="4"/>
      <c r="J19" s="4"/>
      <c r="K19" t="str">
        <f t="shared" si="0"/>
        <v/>
      </c>
      <c r="L19" s="6" t="str">
        <f t="shared" si="1"/>
        <v/>
      </c>
      <c r="M19" t="str">
        <f t="shared" si="2"/>
        <v/>
      </c>
      <c r="N19" s="4"/>
      <c r="O19" s="4"/>
      <c r="P19" s="4"/>
      <c r="Q19" s="4"/>
      <c r="R19" s="4"/>
      <c r="S19" s="4"/>
    </row>
    <row r="20" spans="1:19">
      <c r="A20" t="s">
        <v>192</v>
      </c>
      <c r="B20" s="4"/>
      <c r="C20" s="4"/>
      <c r="D20" s="4"/>
      <c r="E20" s="4"/>
      <c r="F20" s="4"/>
      <c r="G20" s="4"/>
      <c r="H20" s="4"/>
      <c r="I20" s="4"/>
      <c r="J20" s="4"/>
      <c r="K20" t="str">
        <f t="shared" si="0"/>
        <v/>
      </c>
      <c r="L20" s="6" t="str">
        <f t="shared" si="1"/>
        <v/>
      </c>
      <c r="M20" t="str">
        <f t="shared" si="2"/>
        <v/>
      </c>
      <c r="N20" s="4"/>
      <c r="O20" s="4"/>
      <c r="P20" s="4"/>
      <c r="Q20" s="4"/>
      <c r="R20" s="4"/>
      <c r="S20" s="4"/>
    </row>
    <row r="21" spans="1:19">
      <c r="A21" t="s">
        <v>193</v>
      </c>
      <c r="B21" s="4"/>
      <c r="C21" s="4"/>
      <c r="D21" s="4"/>
      <c r="E21" s="4"/>
      <c r="F21" s="4"/>
      <c r="G21" s="4"/>
      <c r="H21" s="4"/>
      <c r="I21" s="4"/>
      <c r="J21" s="4"/>
      <c r="K21" t="str">
        <f t="shared" si="0"/>
        <v/>
      </c>
      <c r="L21" s="6" t="str">
        <f t="shared" si="1"/>
        <v/>
      </c>
      <c r="M21" t="str">
        <f t="shared" si="2"/>
        <v/>
      </c>
      <c r="N21" s="4"/>
      <c r="O21" s="4"/>
      <c r="P21" s="4"/>
      <c r="Q21" s="4"/>
      <c r="R21" s="4"/>
      <c r="S21" s="4"/>
    </row>
    <row r="22" spans="1:19">
      <c r="A22" t="s">
        <v>194</v>
      </c>
      <c r="B22" s="4"/>
      <c r="C22" s="4"/>
      <c r="D22" s="4"/>
      <c r="E22" s="4"/>
      <c r="F22" s="4"/>
      <c r="G22" s="4"/>
      <c r="H22" s="4"/>
      <c r="I22" s="4"/>
      <c r="J22" s="4"/>
      <c r="K22" t="str">
        <f t="shared" si="0"/>
        <v/>
      </c>
      <c r="L22" s="6" t="str">
        <f t="shared" si="1"/>
        <v/>
      </c>
      <c r="M22" t="str">
        <f t="shared" si="2"/>
        <v/>
      </c>
      <c r="N22" s="4"/>
      <c r="O22" s="4"/>
      <c r="P22" s="4"/>
      <c r="Q22" s="4"/>
      <c r="R22" s="4"/>
      <c r="S22" s="4"/>
    </row>
    <row r="23" spans="1:19">
      <c r="A23" t="s">
        <v>195</v>
      </c>
      <c r="B23" s="4"/>
      <c r="C23" s="4"/>
      <c r="D23" s="4"/>
      <c r="E23" s="4"/>
      <c r="F23" s="4"/>
      <c r="G23" s="4"/>
      <c r="H23" s="4"/>
      <c r="I23" s="4"/>
      <c r="J23" s="4"/>
      <c r="K23" t="str">
        <f t="shared" si="0"/>
        <v/>
      </c>
      <c r="L23" s="6" t="str">
        <f t="shared" si="1"/>
        <v/>
      </c>
      <c r="M23" t="str">
        <f t="shared" si="2"/>
        <v/>
      </c>
      <c r="N23" s="4"/>
      <c r="O23" s="4"/>
      <c r="P23" s="4"/>
      <c r="Q23" s="4"/>
      <c r="R23" s="4"/>
      <c r="S23" s="4"/>
    </row>
    <row r="24" spans="1:19">
      <c r="A24" t="s">
        <v>196</v>
      </c>
      <c r="B24" s="4"/>
      <c r="C24" s="4"/>
      <c r="D24" s="4"/>
      <c r="E24" s="4"/>
      <c r="F24" s="4"/>
      <c r="G24" s="4"/>
      <c r="H24" s="4"/>
      <c r="I24" s="4"/>
      <c r="J24" s="4"/>
      <c r="K24" t="str">
        <f t="shared" si="0"/>
        <v/>
      </c>
      <c r="L24" s="6" t="str">
        <f t="shared" si="1"/>
        <v/>
      </c>
      <c r="M24" t="str">
        <f t="shared" si="2"/>
        <v/>
      </c>
      <c r="N24" s="4"/>
      <c r="O24" s="4"/>
      <c r="P24" s="4"/>
      <c r="Q24" s="4"/>
      <c r="R24" s="4"/>
      <c r="S24" s="4"/>
    </row>
    <row r="25" spans="1:19">
      <c r="A25" t="s">
        <v>197</v>
      </c>
      <c r="B25" s="4"/>
      <c r="C25" s="4"/>
      <c r="D25" s="4"/>
      <c r="E25" s="4"/>
      <c r="F25" s="4"/>
      <c r="G25" s="4"/>
      <c r="H25" s="4"/>
      <c r="I25" s="4"/>
      <c r="J25" s="4"/>
      <c r="K25" t="str">
        <f t="shared" si="0"/>
        <v/>
      </c>
      <c r="L25" s="6" t="str">
        <f t="shared" si="1"/>
        <v/>
      </c>
      <c r="M25" t="str">
        <f t="shared" si="2"/>
        <v/>
      </c>
      <c r="N25" s="4"/>
      <c r="O25" s="4"/>
      <c r="P25" s="4"/>
      <c r="Q25" s="4"/>
      <c r="R25" s="4"/>
      <c r="S25" s="4"/>
    </row>
    <row r="26" spans="1:19">
      <c r="A26" t="s">
        <v>198</v>
      </c>
      <c r="B26" s="4"/>
      <c r="C26" s="4"/>
      <c r="D26" s="4"/>
      <c r="E26" s="4"/>
      <c r="F26" s="4"/>
      <c r="G26" s="4"/>
      <c r="H26" s="4"/>
      <c r="I26" s="4"/>
      <c r="J26" s="4"/>
      <c r="K26" t="str">
        <f t="shared" si="0"/>
        <v/>
      </c>
      <c r="L26" s="6" t="str">
        <f t="shared" si="1"/>
        <v/>
      </c>
      <c r="M26" t="str">
        <f t="shared" si="2"/>
        <v/>
      </c>
      <c r="N26" s="4"/>
      <c r="O26" s="4"/>
      <c r="P26" s="4"/>
      <c r="Q26" s="4"/>
      <c r="R26" s="4"/>
      <c r="S26" s="4"/>
    </row>
    <row r="27" spans="1:19">
      <c r="A27" t="s">
        <v>199</v>
      </c>
      <c r="B27" s="4"/>
      <c r="C27" s="4"/>
      <c r="D27" s="4"/>
      <c r="E27" s="4"/>
      <c r="F27" s="4"/>
      <c r="G27" s="4"/>
      <c r="H27" s="4"/>
      <c r="I27" s="4"/>
      <c r="J27" s="4"/>
      <c r="K27" t="str">
        <f t="shared" si="0"/>
        <v/>
      </c>
      <c r="L27" s="6" t="str">
        <f t="shared" si="1"/>
        <v/>
      </c>
      <c r="M27" t="str">
        <f t="shared" si="2"/>
        <v/>
      </c>
      <c r="N27" s="4"/>
      <c r="O27" s="4"/>
      <c r="P27" s="4"/>
      <c r="Q27" s="4"/>
      <c r="R27" s="4"/>
      <c r="S27" s="4"/>
    </row>
    <row r="28" spans="1:19">
      <c r="A28" t="s">
        <v>200</v>
      </c>
      <c r="B28" s="4"/>
      <c r="C28" s="4"/>
      <c r="D28" s="4"/>
      <c r="E28" s="4"/>
      <c r="F28" s="4"/>
      <c r="G28" s="4"/>
      <c r="H28" s="4"/>
      <c r="I28" s="4"/>
      <c r="J28" s="4"/>
      <c r="K28" t="str">
        <f t="shared" si="0"/>
        <v/>
      </c>
      <c r="L28" s="6" t="str">
        <f t="shared" si="1"/>
        <v/>
      </c>
      <c r="M28" t="str">
        <f t="shared" si="2"/>
        <v/>
      </c>
      <c r="N28" s="4"/>
      <c r="O28" s="4"/>
      <c r="P28" s="4"/>
      <c r="Q28" s="4"/>
      <c r="R28" s="4"/>
      <c r="S28" s="4"/>
    </row>
    <row r="29" spans="1:19">
      <c r="A29" t="s">
        <v>201</v>
      </c>
      <c r="B29" s="4"/>
      <c r="C29" s="4"/>
      <c r="D29" s="4"/>
      <c r="E29" s="4"/>
      <c r="F29" s="4"/>
      <c r="G29" s="4"/>
      <c r="H29" s="4"/>
      <c r="I29" s="4"/>
      <c r="J29" s="4"/>
      <c r="K29" t="str">
        <f t="shared" si="0"/>
        <v/>
      </c>
      <c r="L29" s="6" t="str">
        <f t="shared" si="1"/>
        <v/>
      </c>
      <c r="M29" t="str">
        <f t="shared" si="2"/>
        <v/>
      </c>
      <c r="N29" s="4"/>
      <c r="O29" s="4"/>
      <c r="P29" s="4"/>
      <c r="Q29" s="4"/>
      <c r="R29" s="4"/>
      <c r="S29" s="4"/>
    </row>
    <row r="30" spans="1:19">
      <c r="A30" t="s">
        <v>202</v>
      </c>
      <c r="B30" s="4"/>
      <c r="C30" s="4"/>
      <c r="D30" s="4"/>
      <c r="E30" s="4"/>
      <c r="F30" s="4"/>
      <c r="G30" s="4"/>
      <c r="H30" s="4"/>
      <c r="I30" s="4"/>
      <c r="J30" s="4"/>
      <c r="K30" t="str">
        <f t="shared" si="0"/>
        <v/>
      </c>
      <c r="L30" s="6" t="str">
        <f t="shared" si="1"/>
        <v/>
      </c>
      <c r="M30" t="str">
        <f t="shared" si="2"/>
        <v/>
      </c>
      <c r="N30" s="4"/>
      <c r="O30" s="4"/>
      <c r="P30" s="4"/>
      <c r="Q30" s="4"/>
      <c r="R30" s="4"/>
      <c r="S30" s="4"/>
    </row>
    <row r="31" spans="1:19">
      <c r="A31" t="s">
        <v>203</v>
      </c>
      <c r="B31" s="4"/>
      <c r="C31" s="4"/>
      <c r="D31" s="4"/>
      <c r="E31" s="4"/>
      <c r="F31" s="4"/>
      <c r="G31" s="4"/>
      <c r="H31" s="4"/>
      <c r="I31" s="4"/>
      <c r="J31" s="4"/>
      <c r="K31" t="str">
        <f t="shared" si="0"/>
        <v/>
      </c>
      <c r="L31" s="6" t="str">
        <f t="shared" si="1"/>
        <v/>
      </c>
      <c r="M31" t="str">
        <f t="shared" si="2"/>
        <v/>
      </c>
      <c r="N31" s="4"/>
      <c r="O31" s="4"/>
      <c r="P31" s="4"/>
      <c r="Q31" s="4"/>
      <c r="R31" s="4"/>
      <c r="S31" s="4"/>
    </row>
    <row r="32" spans="1:19">
      <c r="A32" t="s">
        <v>204</v>
      </c>
      <c r="B32" s="4"/>
      <c r="C32" s="4"/>
      <c r="D32" s="4"/>
      <c r="E32" s="4"/>
      <c r="F32" s="4"/>
      <c r="G32" s="4"/>
      <c r="H32" s="4"/>
      <c r="I32" s="4"/>
      <c r="J32" s="4"/>
      <c r="K32" t="str">
        <f t="shared" si="0"/>
        <v/>
      </c>
      <c r="L32" s="6" t="str">
        <f t="shared" si="1"/>
        <v/>
      </c>
      <c r="M32" t="str">
        <f t="shared" si="2"/>
        <v/>
      </c>
      <c r="N32" s="4"/>
      <c r="O32" s="4"/>
      <c r="P32" s="4"/>
      <c r="Q32" s="4"/>
      <c r="R32" s="4"/>
      <c r="S32" s="4"/>
    </row>
    <row r="33" spans="1:19">
      <c r="A33" t="s">
        <v>205</v>
      </c>
      <c r="B33" s="4"/>
      <c r="C33" s="4"/>
      <c r="D33" s="4"/>
      <c r="E33" s="4"/>
      <c r="F33" s="4"/>
      <c r="G33" s="4"/>
      <c r="H33" s="4"/>
      <c r="I33" s="4"/>
      <c r="J33" s="4"/>
      <c r="K33" t="str">
        <f t="shared" si="0"/>
        <v/>
      </c>
      <c r="L33" s="6" t="str">
        <f t="shared" si="1"/>
        <v/>
      </c>
      <c r="M33" t="str">
        <f t="shared" si="2"/>
        <v/>
      </c>
      <c r="N33" s="4"/>
      <c r="O33" s="4"/>
      <c r="P33" s="4"/>
      <c r="Q33" s="4"/>
      <c r="R33" s="4"/>
      <c r="S33" s="4"/>
    </row>
    <row r="34" spans="1:19">
      <c r="A34" t="s">
        <v>206</v>
      </c>
      <c r="B34" s="4"/>
      <c r="C34" s="4"/>
      <c r="D34" s="4"/>
      <c r="E34" s="4"/>
      <c r="F34" s="4"/>
      <c r="G34" s="4"/>
      <c r="H34" s="4"/>
      <c r="I34" s="4"/>
      <c r="J34" s="4"/>
      <c r="K34" t="str">
        <f t="shared" si="0"/>
        <v/>
      </c>
      <c r="L34" s="6" t="str">
        <f t="shared" si="1"/>
        <v/>
      </c>
      <c r="M34" t="str">
        <f t="shared" si="2"/>
        <v/>
      </c>
      <c r="N34" s="4"/>
      <c r="O34" s="4"/>
      <c r="P34" s="4"/>
      <c r="Q34" s="4"/>
      <c r="R34" s="4"/>
      <c r="S34" s="4"/>
    </row>
  </sheetData>
  <mergeCells count="2">
    <mergeCell ref="A1:S1"/>
    <mergeCell ref="A2:S2"/>
  </mergeCells>
  <dataValidations count="1">
    <dataValidation type="list" sqref="R5:R34" xr:uid="{00000000-0002-0000-0500-000000000000}">
      <formula1>"Pending,Valid,Questionable,Rejected"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2"/>
  <sheetViews>
    <sheetView workbookViewId="0">
      <pane ySplit="4" topLeftCell="A5" activePane="bottomLeft" state="frozen"/>
      <selection pane="bottomLeft" sqref="A1:D1"/>
    </sheetView>
  </sheetViews>
  <sheetFormatPr defaultRowHeight="13.8"/>
  <cols>
    <col min="1" max="1" width="43" customWidth="1"/>
    <col min="2" max="2" width="26" customWidth="1"/>
    <col min="3" max="3" width="59" customWidth="1"/>
    <col min="4" max="4" width="52" customWidth="1"/>
  </cols>
  <sheetData>
    <row r="1" spans="1:4" ht="31.95" customHeight="1">
      <c r="A1" s="8" t="s">
        <v>207</v>
      </c>
      <c r="B1" s="8"/>
      <c r="C1" s="8"/>
      <c r="D1" s="8"/>
    </row>
    <row r="2" spans="1:4" ht="30" customHeight="1">
      <c r="A2" s="9" t="s">
        <v>208</v>
      </c>
      <c r="B2" s="9"/>
      <c r="C2" s="9"/>
      <c r="D2" s="9"/>
    </row>
    <row r="4" spans="1:4" ht="34.049999999999997" customHeight="1">
      <c r="A4" s="2" t="s">
        <v>38</v>
      </c>
      <c r="B4" s="2" t="s">
        <v>209</v>
      </c>
      <c r="C4" s="2" t="s">
        <v>210</v>
      </c>
      <c r="D4" s="2" t="s">
        <v>53</v>
      </c>
    </row>
    <row r="5" spans="1:4">
      <c r="A5" s="7" t="s">
        <v>211</v>
      </c>
      <c r="B5" s="1">
        <f>COUNT('Back EMF'!F5:F31)</f>
        <v>0</v>
      </c>
      <c r="C5" t="s">
        <v>212</v>
      </c>
      <c r="D5" t="s">
        <v>213</v>
      </c>
    </row>
    <row r="6" spans="1:4">
      <c r="A6" s="7" t="s">
        <v>214</v>
      </c>
      <c r="B6" s="1" t="str">
        <f>IF(COUNT('Back EMF'!L5:L31)=0,"",AVERAGE('Back EMF'!L5:L31))</f>
        <v/>
      </c>
      <c r="C6" t="s">
        <v>215</v>
      </c>
      <c r="D6" t="s">
        <v>216</v>
      </c>
    </row>
    <row r="7" spans="1:4">
      <c r="A7" s="7" t="s">
        <v>217</v>
      </c>
      <c r="B7" s="1">
        <f>COUNT('Motor Runs'!K5:K34)</f>
        <v>0</v>
      </c>
      <c r="C7" t="s">
        <v>218</v>
      </c>
      <c r="D7" t="s">
        <v>219</v>
      </c>
    </row>
    <row r="8" spans="1:4">
      <c r="A8" s="7" t="s">
        <v>220</v>
      </c>
      <c r="B8" s="1" t="str">
        <f>IF(COUNT('Motor Runs'!K5:K34)=0,"",MAX('Motor Runs'!K5:K34))</f>
        <v/>
      </c>
      <c r="C8" t="s">
        <v>221</v>
      </c>
      <c r="D8" t="s">
        <v>222</v>
      </c>
    </row>
    <row r="9" spans="1:4">
      <c r="A9" s="7" t="s">
        <v>223</v>
      </c>
      <c r="B9" s="1" t="str">
        <f>IF(COUNT('Motor Runs'!L5:L34)=0,"",AVERAGE('Motor Runs'!L5:L34))</f>
        <v/>
      </c>
      <c r="C9" t="s">
        <v>224</v>
      </c>
      <c r="D9" t="s">
        <v>225</v>
      </c>
    </row>
    <row r="10" spans="1:4">
      <c r="A10" s="7" t="s">
        <v>226</v>
      </c>
      <c r="B10" s="1">
        <v>18.533999999999999</v>
      </c>
      <c r="C10" t="s">
        <v>227</v>
      </c>
      <c r="D10" t="s">
        <v>228</v>
      </c>
    </row>
    <row r="11" spans="1:4">
      <c r="A11" s="7" t="s">
        <v>229</v>
      </c>
      <c r="B11" s="1">
        <v>7.5540000000000003</v>
      </c>
      <c r="C11" t="s">
        <v>230</v>
      </c>
      <c r="D11" t="s">
        <v>231</v>
      </c>
    </row>
    <row r="12" spans="1:4">
      <c r="A12" s="7" t="s">
        <v>232</v>
      </c>
      <c r="B12" s="1">
        <v>96.9</v>
      </c>
      <c r="C12" t="s">
        <v>233</v>
      </c>
      <c r="D12" t="s">
        <v>234</v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START HERE</vt:lpstr>
      <vt:lpstr>Geometry</vt:lpstr>
      <vt:lpstr>Windings</vt:lpstr>
      <vt:lpstr>Back EMF</vt:lpstr>
      <vt:lpstr>Commissioning</vt:lpstr>
      <vt:lpstr>Motor Runs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Olwethu Khanzi</cp:lastModifiedBy>
  <dcterms:modified xsi:type="dcterms:W3CDTF">2026-10-26T09:38:25Z</dcterms:modified>
</cp:coreProperties>
</file>